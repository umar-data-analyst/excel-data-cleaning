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" sheetId="1" state="visible" r:id="rId3"/>
    <sheet name="🔴 RAW Data" sheetId="2" state="visible" r:id="rId4"/>
    <sheet name="✅ CLEAN Data" sheetId="3" state="visible" r:id="rId5"/>
    <sheet name="🔧 Cleaning Log" sheetId="4" state="visible" r:id="rId6"/>
    <sheet name="📊 Summary Report" sheetId="5" state="visible" r:id="rId7"/>
    <sheet name="🔁 Duplicates" sheetId="6" state="visible" r:id="rId8"/>
    <sheet name="📅 Date Fixes" sheetId="7" state="visible" r:id="rId9"/>
    <sheet name="🔤 Text Fixes" sheetId="8" state="visible" r:id="rId10"/>
    <sheet name="🔢 Number Fixes" sheetId="9" state="visible" r:id="rId11"/>
    <sheet name="❓ Blank Handlin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<sst xmlns="http://schemas.openxmlformats.org/spreadsheetml/2006/main" count="673" uniqueCount="318">
  <si>
    <t xml:space="preserve">EXCEL DATA CLEANING — PORTFOLIO SHOWCASE</t>
  </si>
  <si>
    <t xml:space="preserve">by Umar  |  Data Analyst  |  Excel &amp; SQL Specialist</t>
  </si>
  <si>
    <t xml:space="preserve">This workbook demonstrates professional data cleaning and transformation skills. Each sheet shows a real-world problem + the exact solution applied — the kind of work delivered to every client.</t>
  </si>
  <si>
    <t xml:space="preserve">  WHAT'S INSIDE THIS WORKBOOK</t>
  </si>
  <si>
    <t xml:space="preserve">Sheet Name</t>
  </si>
  <si>
    <t xml:space="preserve">What It Shows</t>
  </si>
  <si>
    <t xml:space="preserve">📋 Cover</t>
  </si>
  <si>
    <t xml:space="preserve">This index page</t>
  </si>
  <si>
    <t xml:space="preserve">🔴 RAW Data</t>
  </si>
  <si>
    <t xml:space="preserve">Original messy dataset — untouched</t>
  </si>
  <si>
    <t xml:space="preserve">✅ CLEAN Data</t>
  </si>
  <si>
    <t xml:space="preserve">Fully cleaned version with all fixes applied</t>
  </si>
  <si>
    <t xml:space="preserve">🔧 Cleaning Log</t>
  </si>
  <si>
    <t xml:space="preserve">Audit trail of every change made</t>
  </si>
  <si>
    <t xml:space="preserve">📊 Summary Report</t>
  </si>
  <si>
    <t xml:space="preserve">KPI dashboard built from clean data</t>
  </si>
  <si>
    <t xml:space="preserve">🔁 Duplicates</t>
  </si>
  <si>
    <t xml:space="preserve">Before/After duplicate removal demo</t>
  </si>
  <si>
    <t xml:space="preserve">📅 Date Fixes</t>
  </si>
  <si>
    <t xml:space="preserve">Date format standardization examples</t>
  </si>
  <si>
    <t xml:space="preserve">🔤 Text Fixes</t>
  </si>
  <si>
    <t xml:space="preserve">Text case, spacing, trailing space fixes</t>
  </si>
  <si>
    <t xml:space="preserve">🔢 Number Fixes</t>
  </si>
  <si>
    <t xml:space="preserve">Currency, number format, type correction</t>
  </si>
  <si>
    <t xml:space="preserve">❓ Blank Handling</t>
  </si>
  <si>
    <t xml:space="preserve">Blank cell strategies — fill, flag, remove</t>
  </si>
  <si>
    <t xml:space="preserve">🔴  RAW DATA  —  Unclean Original File (DO NOT EDIT)</t>
  </si>
  <si>
    <t xml:space="preserve">⚠️  This is the original file as received from the client. Contains: duplicates, inconsistent formats, blank cells, wrong data types, mixed case text, and bad dates.</t>
  </si>
  <si>
    <t xml:space="preserve">CustomerID</t>
  </si>
  <si>
    <t xml:space="preserve">Full Name</t>
  </si>
  <si>
    <t xml:space="preserve">Email</t>
  </si>
  <si>
    <t xml:space="preserve">Phone</t>
  </si>
  <si>
    <t xml:space="preserve">Join Date</t>
  </si>
  <si>
    <t xml:space="preserve">Country</t>
  </si>
  <si>
    <t xml:space="preserve">Sales Amount</t>
  </si>
  <si>
    <t xml:space="preserve">Status</t>
  </si>
  <si>
    <t xml:space="preserve">Region</t>
  </si>
  <si>
    <t xml:space="preserve">ahmed khan</t>
  </si>
  <si>
    <t xml:space="preserve">ahmed@gmail.com</t>
  </si>
  <si>
    <t xml:space="preserve">0300-1234567</t>
  </si>
  <si>
    <t xml:space="preserve">15/03/2023</t>
  </si>
  <si>
    <t xml:space="preserve">pakistan</t>
  </si>
  <si>
    <t xml:space="preserve">15000</t>
  </si>
  <si>
    <t xml:space="preserve">active</t>
  </si>
  <si>
    <t xml:space="preserve">North</t>
  </si>
  <si>
    <t xml:space="preserve">SARA MALIK</t>
  </si>
  <si>
    <t xml:space="preserve">sara.malik@yahoo.com</t>
  </si>
  <si>
    <t xml:space="preserve">923001234568</t>
  </si>
  <si>
    <t xml:space="preserve">2023-04-22</t>
  </si>
  <si>
    <t xml:space="preserve">Pakistan</t>
  </si>
  <si>
    <t xml:space="preserve">22,500</t>
  </si>
  <si>
    <t xml:space="preserve">ACTIVE</t>
  </si>
  <si>
    <t xml:space="preserve">south</t>
  </si>
  <si>
    <t xml:space="preserve">Ali Hassan  </t>
  </si>
  <si>
    <t xml:space="preserve">ali_hassan@gmail.com</t>
  </si>
  <si>
    <t xml:space="preserve">0312 9876543</t>
  </si>
  <si>
    <t xml:space="preserve">April 5 23</t>
  </si>
  <si>
    <t xml:space="preserve">PAKISTAN</t>
  </si>
  <si>
    <t xml:space="preserve">18000</t>
  </si>
  <si>
    <t xml:space="preserve">Active</t>
  </si>
  <si>
    <t xml:space="preserve">north</t>
  </si>
  <si>
    <t xml:space="preserve">Fatima Zahra</t>
  </si>
  <si>
    <t xml:space="preserve">fatima@hotmail.com</t>
  </si>
  <si>
    <t xml:space="preserve">07-08-2023</t>
  </si>
  <si>
    <t xml:space="preserve">Pak</t>
  </si>
  <si>
    <t xml:space="preserve">N/A</t>
  </si>
  <si>
    <t xml:space="preserve">inactive</t>
  </si>
  <si>
    <t xml:space="preserve">East</t>
  </si>
  <si>
    <t xml:space="preserve">  usman ali</t>
  </si>
  <si>
    <t xml:space="preserve">usman@gmail.com</t>
  </si>
  <si>
    <t xml:space="preserve">0345-6789012</t>
  </si>
  <si>
    <t xml:space="preserve">2023/09/14</t>
  </si>
  <si>
    <t xml:space="preserve">31000</t>
  </si>
  <si>
    <t xml:space="preserve">WEST</t>
  </si>
  <si>
    <t xml:space="preserve">Zainab Hussain</t>
  </si>
  <si>
    <t xml:space="preserve">zainab@gmail.com</t>
  </si>
  <si>
    <t xml:space="preserve">03216543210</t>
  </si>
  <si>
    <t xml:space="preserve">20231101</t>
  </si>
  <si>
    <t xml:space="preserve">27,000.5</t>
  </si>
  <si>
    <t xml:space="preserve">South</t>
  </si>
  <si>
    <t xml:space="preserve">BILAL AHMED</t>
  </si>
  <si>
    <t xml:space="preserve">bilal.ahmed@yahoo</t>
  </si>
  <si>
    <t xml:space="preserve">0300-9998887</t>
  </si>
  <si>
    <t xml:space="preserve">12-12-2023</t>
  </si>
  <si>
    <t xml:space="preserve">19500</t>
  </si>
  <si>
    <t xml:space="preserve">INACTIVE</t>
  </si>
  <si>
    <t xml:space="preserve">east</t>
  </si>
  <si>
    <t xml:space="preserve">Maria Siddiqui</t>
  </si>
  <si>
    <t xml:space="preserve">0321-1112223</t>
  </si>
  <si>
    <t xml:space="preserve">01/01/2024</t>
  </si>
  <si>
    <t xml:space="preserve">45000</t>
  </si>
  <si>
    <t xml:space="preserve">kamran iqbal</t>
  </si>
  <si>
    <t xml:space="preserve">kamran@gmail.com</t>
  </si>
  <si>
    <t xml:space="preserve">923339998887</t>
  </si>
  <si>
    <t xml:space="preserve">2024.02.28</t>
  </si>
  <si>
    <t xml:space="preserve">8,750</t>
  </si>
  <si>
    <t xml:space="preserve">Nadia Baig</t>
  </si>
  <si>
    <t xml:space="preserve">nadia.baig@gmail.com</t>
  </si>
  <si>
    <t xml:space="preserve">0312-4445556</t>
  </si>
  <si>
    <t xml:space="preserve">Mar 15 2024</t>
  </si>
  <si>
    <t xml:space="preserve">33000</t>
  </si>
  <si>
    <t xml:space="preserve">Hamza Raza</t>
  </si>
  <si>
    <t xml:space="preserve">hamza@gmail.com</t>
  </si>
  <si>
    <t xml:space="preserve">0300-7776665</t>
  </si>
  <si>
    <t xml:space="preserve">2024/04/10</t>
  </si>
  <si>
    <t xml:space="preserve">abc</t>
  </si>
  <si>
    <t xml:space="preserve">Sobia Tariq  </t>
  </si>
  <si>
    <t xml:space="preserve">sobia.tariq@gmail.com</t>
  </si>
  <si>
    <t xml:space="preserve">0345-2223334</t>
  </si>
  <si>
    <t xml:space="preserve">15-05-2024</t>
  </si>
  <si>
    <t xml:space="preserve">28000</t>
  </si>
  <si>
    <t xml:space="preserve">West</t>
  </si>
  <si>
    <t xml:space="preserve">imran shahid</t>
  </si>
  <si>
    <t xml:space="preserve">imran@gmail.com</t>
  </si>
  <si>
    <t xml:space="preserve">0321-8889990</t>
  </si>
  <si>
    <t xml:space="preserve">2024-06-30</t>
  </si>
  <si>
    <t xml:space="preserve">41,000</t>
  </si>
  <si>
    <t xml:space="preserve">NORTH</t>
  </si>
  <si>
    <t xml:space="preserve">✅  CLEAN DATA  —  Professionally Cleaned &amp; Standardized</t>
  </si>
  <si>
    <t xml:space="preserve">✔  All issues resolved: duplicates removed, names title-cased, emails validated, phones standardized, dates unified, numbers corrected, blanks handled, status/region normalized.</t>
  </si>
  <si>
    <t xml:space="preserve">Ahmed Khan</t>
  </si>
  <si>
    <t xml:space="preserve">+92-300-1234567</t>
  </si>
  <si>
    <t xml:space="preserve">2023-03-15</t>
  </si>
  <si>
    <t xml:space="preserve">Sara Malik</t>
  </si>
  <si>
    <t xml:space="preserve">+92-300-1234568</t>
  </si>
  <si>
    <t xml:space="preserve">Ali Hassan</t>
  </si>
  <si>
    <t xml:space="preserve">+92-312-9876543</t>
  </si>
  <si>
    <t xml:space="preserve">2023-04-05</t>
  </si>
  <si>
    <t xml:space="preserve">Not Provided</t>
  </si>
  <si>
    <t xml:space="preserve">2023-08-07</t>
  </si>
  <si>
    <t xml:space="preserve">Inactive</t>
  </si>
  <si>
    <t xml:space="preserve">Usman Ali</t>
  </si>
  <si>
    <t xml:space="preserve">+92-345-6789012</t>
  </si>
  <si>
    <t xml:space="preserve">2023-09-14</t>
  </si>
  <si>
    <t xml:space="preserve">+92-321-6543210</t>
  </si>
  <si>
    <t xml:space="preserve">2023-11-01</t>
  </si>
  <si>
    <t xml:space="preserve">Bilal Ahmed</t>
  </si>
  <si>
    <t xml:space="preserve">bilal.ahmed@yahoo.com</t>
  </si>
  <si>
    <t xml:space="preserve">+92-300-9998887</t>
  </si>
  <si>
    <t xml:space="preserve">2023-12-12</t>
  </si>
  <si>
    <t xml:space="preserve">+92-321-1112223</t>
  </si>
  <si>
    <t xml:space="preserve">2024-01-01</t>
  </si>
  <si>
    <t xml:space="preserve">Kamran Iqbal</t>
  </si>
  <si>
    <t xml:space="preserve">+92-333-9998887</t>
  </si>
  <si>
    <t xml:space="preserve">2024-02-28</t>
  </si>
  <si>
    <t xml:space="preserve">+92-312-4445556</t>
  </si>
  <si>
    <t xml:space="preserve">2024-03-15</t>
  </si>
  <si>
    <t xml:space="preserve">+92-300-7776665</t>
  </si>
  <si>
    <t xml:space="preserve">2024-04-10</t>
  </si>
  <si>
    <t xml:space="preserve">Sobia Tariq</t>
  </si>
  <si>
    <t xml:space="preserve">+92-345-2223334</t>
  </si>
  <si>
    <t xml:space="preserve">2024-05-15</t>
  </si>
  <si>
    <t xml:space="preserve">Imran Shahid</t>
  </si>
  <si>
    <t xml:space="preserve">+92-321-8889990</t>
  </si>
  <si>
    <t xml:space="preserve">🔧  CLEANING LOG  —  Full Audit Trail of Every Fix Applied</t>
  </si>
  <si>
    <t xml:space="preserve">📌  This log documents every cleaning action taken. Clients receive this with every delivery for full transparency.</t>
  </si>
  <si>
    <t xml:space="preserve">#</t>
  </si>
  <si>
    <t xml:space="preserve">Issue Type</t>
  </si>
  <si>
    <t xml:space="preserve">Column Affected</t>
  </si>
  <si>
    <t xml:space="preserve">Problem Found</t>
  </si>
  <si>
    <t xml:space="preserve">Fix Applied</t>
  </si>
  <si>
    <t xml:space="preserve">Rows Affected</t>
  </si>
  <si>
    <t xml:space="preserve">Duplicate Rows</t>
  </si>
  <si>
    <t xml:space="preserve">All Columns</t>
  </si>
  <si>
    <t xml:space="preserve">2 exact duplicate records found (IDs 1004, 1012)</t>
  </si>
  <si>
    <t xml:space="preserve">Removed duplicate rows, kept first occurrence</t>
  </si>
  <si>
    <t xml:space="preserve">2 rows deleted</t>
  </si>
  <si>
    <t xml:space="preserve">✅ Fixed</t>
  </si>
  <si>
    <t xml:space="preserve">Text Case — Names</t>
  </si>
  <si>
    <t xml:space="preserve">Mixed case: 'ahmed khan', 'SARA MALIK', 'Ali Hassan  '</t>
  </si>
  <si>
    <t xml:space="preserve">Applied Title Case to all names + stripped whitespace</t>
  </si>
  <si>
    <t xml:space="preserve">13 rows updated</t>
  </si>
  <si>
    <t xml:space="preserve">Trailing Spaces</t>
  </si>
  <si>
    <t xml:space="preserve">Full Name, Email</t>
  </si>
  <si>
    <t xml:space="preserve">Leading/trailing spaces in 3 name fields</t>
  </si>
  <si>
    <t xml:space="preserve">TRIM applied — all extra spaces removed</t>
  </si>
  <si>
    <t xml:space="preserve">3 rows updated</t>
  </si>
  <si>
    <t xml:space="preserve">Date Format</t>
  </si>
  <si>
    <t xml:space="preserve">7 different date formats: DD/MM/YY, YYYY-MM-DD, text etc.</t>
  </si>
  <si>
    <t xml:space="preserve">All dates unified to ISO format YYYY-MM-DD</t>
  </si>
  <si>
    <t xml:space="preserve">Phone Format</t>
  </si>
  <si>
    <t xml:space="preserve">Mixed formats: 0300-, 923, spaces, missing values</t>
  </si>
  <si>
    <t xml:space="preserve">Standardized to +92-3XX-XXXXXXX format</t>
  </si>
  <si>
    <t xml:space="preserve">Missing Email</t>
  </si>
  <si>
    <t xml:space="preserve">2 blank email fields (IDs 1005, 1009)</t>
  </si>
  <si>
    <t xml:space="preserve">Replaced with 'Not Provided' placeholder</t>
  </si>
  <si>
    <t xml:space="preserve">2 rows updated</t>
  </si>
  <si>
    <t xml:space="preserve">Invalid Sales</t>
  </si>
  <si>
    <t xml:space="preserve">'N/A' and 'abc' values in numeric column</t>
  </si>
  <si>
    <t xml:space="preserve">Replaced with 0, flagged for client review</t>
  </si>
  <si>
    <t xml:space="preserve">Number Formatting</t>
  </si>
  <si>
    <t xml:space="preserve">Numbers stored as text with commas: '22,500', '41,000'</t>
  </si>
  <si>
    <t xml:space="preserve">Converted to proper numeric type, removed commas</t>
  </si>
  <si>
    <t xml:space="preserve">5 rows updated</t>
  </si>
  <si>
    <t xml:space="preserve">Country Inconsistency</t>
  </si>
  <si>
    <t xml:space="preserve">'pak', 'PAKISTAN', 'Pakistan' — 3 variations</t>
  </si>
  <si>
    <t xml:space="preserve">Standardized all to 'Pakistan'</t>
  </si>
  <si>
    <t xml:space="preserve">Status Inconsistency</t>
  </si>
  <si>
    <t xml:space="preserve">'ACTIVE', 'active', 'Active', blank — 4 variations</t>
  </si>
  <si>
    <t xml:space="preserve">Standardized to Title Case: Active / Inactive</t>
  </si>
  <si>
    <t xml:space="preserve">Region Inconsistency</t>
  </si>
  <si>
    <t xml:space="preserve">'south', 'NORTH', 'WEST' — inconsistent case</t>
  </si>
  <si>
    <t xml:space="preserve">Standardized to Title Case across all regions</t>
  </si>
  <si>
    <t xml:space="preserve">6 rows updated</t>
  </si>
  <si>
    <t xml:space="preserve">Missing Region</t>
  </si>
  <si>
    <t xml:space="preserve">1 blank region field (ID 1010)</t>
  </si>
  <si>
    <t xml:space="preserve">Replaced with 'Not Provided'</t>
  </si>
  <si>
    <t xml:space="preserve">1 row updated</t>
  </si>
  <si>
    <t xml:space="preserve">Missing Status</t>
  </si>
  <si>
    <t xml:space="preserve">1 blank status field (ID 1014)</t>
  </si>
  <si>
    <t xml:space="preserve">Invalid Email</t>
  </si>
  <si>
    <t xml:space="preserve">'bilal.ahmed@yahoo' — missing domain extension</t>
  </si>
  <si>
    <t xml:space="preserve">Corrected to bilal.ahmed@yahoo.com</t>
  </si>
  <si>
    <t xml:space="preserve">📊  SUMMARY: 14 cleaning operations performed  |  2 duplicate rows removed  |  13 unique records retained  |  File is now analysis-ready ✅</t>
  </si>
  <si>
    <t xml:space="preserve">📊  SUMMARY REPORT  —  Business KPIs from Clean Data</t>
  </si>
  <si>
    <t xml:space="preserve">Total Customers</t>
  </si>
  <si>
    <t xml:space="preserve">Total Sales (PKR)</t>
  </si>
  <si>
    <t xml:space="preserve">Active Customers</t>
  </si>
  <si>
    <t xml:space="preserve">Avg Sale (PKR)</t>
  </si>
  <si>
    <t xml:space="preserve">  REGIONAL SALES BREAKDOWN</t>
  </si>
  <si>
    <t xml:space="preserve">Customers</t>
  </si>
  <si>
    <t xml:space="preserve">Total Sales</t>
  </si>
  <si>
    <t xml:space="preserve">Avg Sale</t>
  </si>
  <si>
    <t xml:space="preserve">TOTAL</t>
  </si>
  <si>
    <t xml:space="preserve">  STATUS BREAKDOWN</t>
  </si>
  <si>
    <t xml:space="preserve">Count</t>
  </si>
  <si>
    <t xml:space="preserve">% of Total</t>
  </si>
  <si>
    <t xml:space="preserve">Sales Total</t>
  </si>
  <si>
    <t xml:space="preserve">🔁  DUPLICATE REMOVAL  —  Before vs After Demo</t>
  </si>
  <si>
    <t xml:space="preserve">  BEFORE — With Duplicates (15 rows)</t>
  </si>
  <si>
    <t xml:space="preserve">  AFTER — Duplicates Removed (6 rows)</t>
  </si>
  <si>
    <t xml:space="preserve">Sales</t>
  </si>
  <si>
    <t xml:space="preserve">Flag</t>
  </si>
  <si>
    <t xml:space="preserve">Note</t>
  </si>
  <si>
    <t xml:space="preserve">✅ Kept</t>
  </si>
  <si>
    <t xml:space="preserve">⚠️ DUPLICATE</t>
  </si>
  <si>
    <t xml:space="preserve">❌  Before: 8 rows  |  2 duplicates found using ROW_NUMBER logic</t>
  </si>
  <si>
    <t xml:space="preserve">✅  After:  6 rows  |  2 duplicate rows removed  |  Data integrity: 100%</t>
  </si>
  <si>
    <t xml:space="preserve">📅  DATE FORMAT STANDARDIZATION  —  7 Formats → 1 Unified Format</t>
  </si>
  <si>
    <t xml:space="preserve">🗓️  Real-world data often comes with dates in many formats. All are unified to ISO standard: YYYY-MM-DD</t>
  </si>
  <si>
    <t xml:space="preserve">Raw Value (As Received)</t>
  </si>
  <si>
    <t xml:space="preserve">Format Type</t>
  </si>
  <si>
    <t xml:space="preserve">Cleaned Value</t>
  </si>
  <si>
    <t xml:space="preserve">DD/MM/YYYY</t>
  </si>
  <si>
    <t xml:space="preserve">YYYY-MM-DD (correct)</t>
  </si>
  <si>
    <t xml:space="preserve">✅ Already clean</t>
  </si>
  <si>
    <t xml:space="preserve">Month D YY (text)</t>
  </si>
  <si>
    <t xml:space="preserve">DD-MM-YYYY</t>
  </si>
  <si>
    <t xml:space="preserve">YYYY/MM/DD</t>
  </si>
  <si>
    <t xml:space="preserve">YYYYMMDD (no sep)</t>
  </si>
  <si>
    <t xml:space="preserve">YYYY.MM.DD</t>
  </si>
  <si>
    <t xml:space="preserve">Mon DD YYYY (text)</t>
  </si>
  <si>
    <t xml:space="preserve">🔤  TEXT CLEANING  —  Case, Spaces, Consistency Fixed</t>
  </si>
  <si>
    <t xml:space="preserve">Field</t>
  </si>
  <si>
    <t xml:space="preserve">Raw Value</t>
  </si>
  <si>
    <t xml:space="preserve">Issue</t>
  </si>
  <si>
    <t xml:space="preserve">All lowercase</t>
  </si>
  <si>
    <t xml:space="preserve">PROPER() / Title Case</t>
  </si>
  <si>
    <t xml:space="preserve">All uppercase</t>
  </si>
  <si>
    <t xml:space="preserve">Trailing spaces</t>
  </si>
  <si>
    <t xml:space="preserve">TRIM()</t>
  </si>
  <si>
    <t xml:space="preserve">Leading spaces</t>
  </si>
  <si>
    <t xml:space="preserve">TRIM() + PROPER()</t>
  </si>
  <si>
    <t xml:space="preserve">Lowercase</t>
  </si>
  <si>
    <t xml:space="preserve">PROPER()</t>
  </si>
  <si>
    <t xml:space="preserve">Abbreviation</t>
  </si>
  <si>
    <t xml:space="preserve">IF/SUBSTITUTE fix</t>
  </si>
  <si>
    <t xml:space="preserve">🔢  NUMBER &amp; CURRENCY FIXES  —  Text-to-Number, Format Errors</t>
  </si>
  <si>
    <t xml:space="preserve">Stored As</t>
  </si>
  <si>
    <t xml:space="preserve">Text</t>
  </si>
  <si>
    <t xml:space="preserve">Number stored as text</t>
  </si>
  <si>
    <t xml:space="preserve">VALUE() conversion</t>
  </si>
  <si>
    <t xml:space="preserve">Comma in number (text)</t>
  </si>
  <si>
    <t xml:space="preserve">SUBSTITUTE + VALUE()</t>
  </si>
  <si>
    <t xml:space="preserve">Non-numeric — invalid entry</t>
  </si>
  <si>
    <t xml:space="preserve">IF + ISNUMBER → set 0</t>
  </si>
  <si>
    <t xml:space="preserve">Comma + decimal as text</t>
  </si>
  <si>
    <t xml:space="preserve">Number</t>
  </si>
  <si>
    <t xml:space="preserve">Already numeric — OK</t>
  </si>
  <si>
    <t xml:space="preserve">No change needed</t>
  </si>
  <si>
    <t xml:space="preserve">Non-numeric — data error</t>
  </si>
  <si>
    <t xml:space="preserve">IFERROR → set 0, flagged</t>
  </si>
  <si>
    <t xml:space="preserve">❓  BLANK CELL HANDLING  —  3 Strategies Demonstrated</t>
  </si>
  <si>
    <t xml:space="preserve">📌  Blanks are handled differently based on column type. Below shows all 3 strategies used.</t>
  </si>
  <si>
    <t xml:space="preserve">Column</t>
  </si>
  <si>
    <t xml:space="preserve">Raw (Blank)</t>
  </si>
  <si>
    <t xml:space="preserve">Strategy Used</t>
  </si>
  <si>
    <t xml:space="preserve">Result</t>
  </si>
  <si>
    <t xml:space="preserve">Why This Strategy</t>
  </si>
  <si>
    <t xml:space="preserve">Phone (ID 1005)</t>
  </si>
  <si>
    <t xml:space="preserve">(blank)</t>
  </si>
  <si>
    <t xml:space="preserve">Replace with placeholder</t>
  </si>
  <si>
    <t xml:space="preserve">'Not Provided'</t>
  </si>
  <si>
    <t xml:space="preserve">Can't guess phone — flag it clearly</t>
  </si>
  <si>
    <t xml:space="preserve">Email (ID 1009)</t>
  </si>
  <si>
    <t xml:space="preserve">Can't guess email — flag it clearly</t>
  </si>
  <si>
    <t xml:space="preserve">Email (ID 1005)</t>
  </si>
  <si>
    <t xml:space="preserve">Sales (ID 1005)</t>
  </si>
  <si>
    <t xml:space="preserve">Replace with 0</t>
  </si>
  <si>
    <t xml:space="preserve">0</t>
  </si>
  <si>
    <t xml:space="preserve">Numeric field — 0 keeps formulas intact</t>
  </si>
  <si>
    <t xml:space="preserve">Sales (ID 1013)</t>
  </si>
  <si>
    <t xml:space="preserve">Invalid 'abc' → replaced with 0</t>
  </si>
  <si>
    <t xml:space="preserve">Status (ID 1014)</t>
  </si>
  <si>
    <t xml:space="preserve">Status unknown — don't assume</t>
  </si>
  <si>
    <t xml:space="preserve">Region (ID 1010)</t>
  </si>
  <si>
    <t xml:space="preserve">Region unknown — don't assume</t>
  </si>
  <si>
    <t xml:space="preserve">Country (any)</t>
  </si>
  <si>
    <t xml:space="preserve">Fill from context</t>
  </si>
  <si>
    <t xml:space="preserve">'Pakistan'</t>
  </si>
  <si>
    <t xml:space="preserve">All records are Pakistan-based</t>
  </si>
  <si>
    <t xml:space="preserve">  STRATEGY LEGEND</t>
  </si>
  <si>
    <t xml:space="preserve">🟣 Replace with placeholder</t>
  </si>
  <si>
    <t xml:space="preserve">Used when data is unknown and cannot be estimated</t>
  </si>
  <si>
    <t xml:space="preserve">🟢 Replace with 0</t>
  </si>
  <si>
    <t xml:space="preserve">Used for numeric columns where blank = zero value</t>
  </si>
  <si>
    <t xml:space="preserve">🔵 Fill from context</t>
  </si>
  <si>
    <t xml:space="preserve">Used when value can be logically inferred from 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</si>
</sst>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7B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2EFDA"/>
      </patternFill>
    </fill>
    <fill>
      <patternFill patternType="solid">
        <fgColor rgb="FF00B0A0"/>
        <bgColor rgb="FF33CCCC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993366"/>
      </patternFill>
    </fill>
    <fill>
      <patternFill patternType="solid">
        <fgColor rgb="FFFFF2CC"/>
        <bgColor rgb="FFFCE4D6"/>
      </patternFill>
    </fill>
    <fill>
      <patternFill patternType="solid">
        <fgColor rgb="FF4472C4"/>
        <bgColor rgb="FF2E75B6"/>
      </patternFill>
    </fill>
    <fill>
      <patternFill patternType="solid">
        <fgColor rgb="FFEAD1F7"/>
        <bgColor rgb="FFFCE4D6"/>
      </patternFill>
    </fill>
    <fill>
      <patternFill patternType="solid">
        <fgColor rgb="FF595959"/>
        <bgColor rgb="FF37562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EAD1F7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0"/>
    <col collapsed="false" customWidth="true" hidden="false" outlineLevel="0" max="6" min="3" style="1" width="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2" hidden="false" customHeight="true" outlineLevel="0" collapsed="false"/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15" hidden="false" customHeight="true" outlineLevel="0" collapsed="false">
      <c r="A5" s="4"/>
      <c r="B5" s="4"/>
      <c r="C5" s="4"/>
      <c r="D5" s="4"/>
      <c r="E5" s="4"/>
      <c r="F5" s="4"/>
    </row>
    <row r="6" customFormat="false" ht="15" hidden="false" customHeight="true" outlineLevel="0" collapsed="false">
      <c r="A6" s="4"/>
      <c r="B6" s="4"/>
      <c r="C6" s="4"/>
      <c r="D6" s="4"/>
      <c r="E6" s="4"/>
      <c r="F6" s="4"/>
    </row>
    <row r="7" customFormat="false" ht="12" hidden="false" customHeight="true" outlineLevel="0" collapsed="false"/>
    <row r="8" customFormat="false" ht="21.75" hidden="false" customHeight="true" outlineLevel="0" collapsed="false">
      <c r="A8" s="5" t="s">
        <v>3</v>
      </c>
      <c r="B8" s="5"/>
      <c r="C8" s="5"/>
      <c r="D8" s="5"/>
      <c r="E8" s="5"/>
      <c r="F8" s="5"/>
    </row>
    <row r="9" customFormat="false" ht="19.5" hidden="false" customHeight="true" outlineLevel="0" collapsed="false">
      <c r="A9" s="6" t="s">
        <v>4</v>
      </c>
      <c r="B9" s="6" t="s">
        <v>5</v>
      </c>
    </row>
    <row r="10" customFormat="false" ht="18" hidden="false" customHeight="true" outlineLevel="0" collapsed="false">
      <c r="A10" s="7" t="s">
        <v>6</v>
      </c>
      <c r="B10" s="7" t="s">
        <v>7</v>
      </c>
    </row>
    <row r="11" customFormat="false" ht="18" hidden="false" customHeight="true" outlineLevel="0" collapsed="false">
      <c r="A11" s="8" t="s">
        <v>8</v>
      </c>
      <c r="B11" s="8" t="s">
        <v>9</v>
      </c>
    </row>
    <row r="12" customFormat="false" ht="18" hidden="false" customHeight="true" outlineLevel="0" collapsed="false">
      <c r="A12" s="7" t="s">
        <v>10</v>
      </c>
      <c r="B12" s="7" t="s">
        <v>11</v>
      </c>
    </row>
    <row r="13" customFormat="false" ht="18" hidden="false" customHeight="true" outlineLevel="0" collapsed="false">
      <c r="A13" s="8" t="s">
        <v>12</v>
      </c>
      <c r="B13" s="8" t="s">
        <v>13</v>
      </c>
    </row>
    <row r="14" customFormat="false" ht="18" hidden="false" customHeight="true" outlineLevel="0" collapsed="false">
      <c r="A14" s="7" t="s">
        <v>14</v>
      </c>
      <c r="B14" s="7" t="s">
        <v>15</v>
      </c>
    </row>
    <row r="15" customFormat="false" ht="18" hidden="false" customHeight="true" outlineLevel="0" collapsed="false">
      <c r="A15" s="8" t="s">
        <v>16</v>
      </c>
      <c r="B15" s="8" t="s">
        <v>17</v>
      </c>
    </row>
    <row r="16" customFormat="false" ht="18" hidden="false" customHeight="true" outlineLevel="0" collapsed="false">
      <c r="A16" s="7" t="s">
        <v>18</v>
      </c>
      <c r="B16" s="7" t="s">
        <v>19</v>
      </c>
    </row>
    <row r="17" customFormat="false" ht="18" hidden="false" customHeight="true" outlineLevel="0" collapsed="false">
      <c r="A17" s="8" t="s">
        <v>20</v>
      </c>
      <c r="B17" s="8" t="s">
        <v>21</v>
      </c>
    </row>
    <row r="18" customFormat="false" ht="18" hidden="false" customHeight="true" outlineLevel="0" collapsed="false">
      <c r="A18" s="7" t="s">
        <v>22</v>
      </c>
      <c r="B18" s="7" t="s">
        <v>23</v>
      </c>
    </row>
    <row r="19" customFormat="false" ht="18" hidden="false" customHeight="true" outlineLevel="0" collapsed="false">
      <c r="A19" s="8" t="s">
        <v>24</v>
      </c>
      <c r="B19" s="8" t="s">
        <v>25</v>
      </c>
    </row>
  </sheetData>
  <mergeCells count="4">
    <mergeCell ref="A1:F1"/>
    <mergeCell ref="A2:F2"/>
    <mergeCell ref="A4:F6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0"/>
  </cols>
  <sheetData>
    <row r="1" customFormat="false" ht="27.75" hidden="false" customHeight="true" outlineLevel="0" collapsed="false">
      <c r="A1" s="9" t="s">
        <v>26</v>
      </c>
      <c r="B1" s="9"/>
      <c r="C1" s="9"/>
      <c r="D1" s="9"/>
      <c r="E1" s="9"/>
      <c r="F1" s="9"/>
      <c r="G1" s="9"/>
      <c r="H1" s="9"/>
      <c r="I1" s="9"/>
    </row>
    <row r="2" customFormat="false" ht="7.5" hidden="false" customHeight="true" outlineLevel="0" collapsed="false"/>
    <row r="3" customFormat="false" ht="30" hidden="false" customHeight="true" outlineLevel="0" collapsed="false">
      <c r="A3" s="10" t="s">
        <v>27</v>
      </c>
      <c r="B3" s="10"/>
      <c r="C3" s="10"/>
      <c r="D3" s="10"/>
      <c r="E3" s="10"/>
      <c r="F3" s="10"/>
      <c r="G3" s="10"/>
      <c r="H3" s="10"/>
      <c r="I3" s="10"/>
    </row>
    <row r="4" customFormat="false" ht="26.25" hidden="false" customHeight="true" outlineLevel="0" collapsed="false">
      <c r="A4" s="11" t="s">
        <v>28</v>
      </c>
      <c r="B4" s="11" t="s">
        <v>29</v>
      </c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1" t="s">
        <v>35</v>
      </c>
      <c r="I4" s="11" t="s">
        <v>36</v>
      </c>
    </row>
    <row r="5" customFormat="false" ht="18" hidden="false" customHeight="true" outlineLevel="0" collapsed="false">
      <c r="A5" s="12" t="n">
        <v>1001</v>
      </c>
      <c r="B5" s="12" t="s">
        <v>37</v>
      </c>
      <c r="C5" s="12" t="s">
        <v>38</v>
      </c>
      <c r="D5" s="12" t="s">
        <v>39</v>
      </c>
      <c r="E5" s="12" t="s">
        <v>40</v>
      </c>
      <c r="F5" s="12" t="s">
        <v>41</v>
      </c>
      <c r="G5" s="12" t="s">
        <v>42</v>
      </c>
      <c r="H5" s="12" t="s">
        <v>43</v>
      </c>
      <c r="I5" s="12" t="s">
        <v>44</v>
      </c>
    </row>
    <row r="6" customFormat="false" ht="18" hidden="false" customHeight="true" outlineLevel="0" collapsed="false">
      <c r="A6" s="7" t="n">
        <v>1002</v>
      </c>
      <c r="B6" s="7" t="s">
        <v>45</v>
      </c>
      <c r="C6" s="7" t="s">
        <v>46</v>
      </c>
      <c r="D6" s="7" t="s">
        <v>47</v>
      </c>
      <c r="E6" s="7" t="s">
        <v>48</v>
      </c>
      <c r="F6" s="7" t="s">
        <v>49</v>
      </c>
      <c r="G6" s="7" t="s">
        <v>50</v>
      </c>
      <c r="H6" s="7" t="s">
        <v>51</v>
      </c>
      <c r="I6" s="7" t="s">
        <v>52</v>
      </c>
    </row>
    <row r="7" customFormat="false" ht="18" hidden="false" customHeight="true" outlineLevel="0" collapsed="false">
      <c r="A7" s="12" t="n">
        <v>1003</v>
      </c>
      <c r="B7" s="12" t="s">
        <v>53</v>
      </c>
      <c r="C7" s="12" t="s">
        <v>54</v>
      </c>
      <c r="D7" s="12" t="s">
        <v>55</v>
      </c>
      <c r="E7" s="12" t="s">
        <v>56</v>
      </c>
      <c r="F7" s="12" t="s">
        <v>57</v>
      </c>
      <c r="G7" s="12" t="s">
        <v>58</v>
      </c>
      <c r="H7" s="12" t="s">
        <v>59</v>
      </c>
      <c r="I7" s="12" t="s">
        <v>60</v>
      </c>
    </row>
    <row r="8" customFormat="false" ht="18" hidden="false" customHeight="true" outlineLevel="0" collapsed="false">
      <c r="A8" s="7" t="n">
        <v>1004</v>
      </c>
      <c r="B8" s="7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7" t="s">
        <v>42</v>
      </c>
      <c r="H8" s="7" t="s">
        <v>43</v>
      </c>
      <c r="I8" s="7" t="s">
        <v>44</v>
      </c>
    </row>
    <row r="9" customFormat="false" ht="18" hidden="false" customHeight="true" outlineLevel="0" collapsed="false">
      <c r="A9" s="12" t="n">
        <v>1005</v>
      </c>
      <c r="B9" s="12" t="s">
        <v>61</v>
      </c>
      <c r="C9" s="12" t="s">
        <v>62</v>
      </c>
      <c r="D9" s="12"/>
      <c r="E9" s="12" t="s">
        <v>63</v>
      </c>
      <c r="F9" s="12" t="s">
        <v>64</v>
      </c>
      <c r="G9" s="12" t="s">
        <v>65</v>
      </c>
      <c r="H9" s="12" t="s">
        <v>66</v>
      </c>
      <c r="I9" s="12" t="s">
        <v>67</v>
      </c>
    </row>
    <row r="10" customFormat="false" ht="18" hidden="false" customHeight="true" outlineLevel="0" collapsed="false">
      <c r="A10" s="7" t="n">
        <v>1006</v>
      </c>
      <c r="B10" s="7" t="s">
        <v>68</v>
      </c>
      <c r="C10" s="7" t="s">
        <v>69</v>
      </c>
      <c r="D10" s="7" t="s">
        <v>70</v>
      </c>
      <c r="E10" s="7" t="s">
        <v>71</v>
      </c>
      <c r="F10" s="7" t="s">
        <v>41</v>
      </c>
      <c r="G10" s="7" t="s">
        <v>72</v>
      </c>
      <c r="H10" s="7" t="s">
        <v>59</v>
      </c>
      <c r="I10" s="7" t="s">
        <v>73</v>
      </c>
    </row>
    <row r="11" customFormat="false" ht="18" hidden="false" customHeight="true" outlineLevel="0" collapsed="false">
      <c r="A11" s="12" t="n">
        <v>1007</v>
      </c>
      <c r="B11" s="12" t="s">
        <v>74</v>
      </c>
      <c r="C11" s="12" t="s">
        <v>75</v>
      </c>
      <c r="D11" s="12" t="s">
        <v>76</v>
      </c>
      <c r="E11" s="12" t="s">
        <v>77</v>
      </c>
      <c r="F11" s="12" t="s">
        <v>49</v>
      </c>
      <c r="G11" s="12" t="s">
        <v>78</v>
      </c>
      <c r="H11" s="12" t="s">
        <v>43</v>
      </c>
      <c r="I11" s="12" t="s">
        <v>79</v>
      </c>
    </row>
    <row r="12" customFormat="false" ht="18" hidden="false" customHeight="true" outlineLevel="0" collapsed="false">
      <c r="A12" s="7" t="n">
        <v>1008</v>
      </c>
      <c r="B12" s="7" t="s">
        <v>80</v>
      </c>
      <c r="C12" s="7" t="s">
        <v>81</v>
      </c>
      <c r="D12" s="7" t="s">
        <v>82</v>
      </c>
      <c r="E12" s="7" t="s">
        <v>83</v>
      </c>
      <c r="F12" s="7" t="s">
        <v>57</v>
      </c>
      <c r="G12" s="7" t="s">
        <v>84</v>
      </c>
      <c r="H12" s="7" t="s">
        <v>85</v>
      </c>
      <c r="I12" s="7" t="s">
        <v>86</v>
      </c>
    </row>
    <row r="13" customFormat="false" ht="18" hidden="false" customHeight="true" outlineLevel="0" collapsed="false">
      <c r="A13" s="12" t="n">
        <v>1009</v>
      </c>
      <c r="B13" s="12" t="s">
        <v>87</v>
      </c>
      <c r="C13" s="12"/>
      <c r="D13" s="12" t="s">
        <v>88</v>
      </c>
      <c r="E13" s="12" t="s">
        <v>89</v>
      </c>
      <c r="F13" s="12" t="s">
        <v>41</v>
      </c>
      <c r="G13" s="12" t="s">
        <v>90</v>
      </c>
      <c r="H13" s="12" t="s">
        <v>59</v>
      </c>
      <c r="I13" s="12" t="s">
        <v>44</v>
      </c>
    </row>
    <row r="14" customFormat="false" ht="18" hidden="false" customHeight="true" outlineLevel="0" collapsed="false">
      <c r="A14" s="7" t="n">
        <v>1010</v>
      </c>
      <c r="B14" s="7" t="s">
        <v>91</v>
      </c>
      <c r="C14" s="7" t="s">
        <v>92</v>
      </c>
      <c r="D14" s="7" t="s">
        <v>93</v>
      </c>
      <c r="E14" s="7" t="s">
        <v>94</v>
      </c>
      <c r="F14" s="7" t="s">
        <v>49</v>
      </c>
      <c r="G14" s="7" t="s">
        <v>95</v>
      </c>
      <c r="H14" s="7" t="s">
        <v>43</v>
      </c>
      <c r="I14" s="7"/>
    </row>
    <row r="15" customFormat="false" ht="18" hidden="false" customHeight="true" outlineLevel="0" collapsed="false">
      <c r="A15" s="12" t="n">
        <v>1011</v>
      </c>
      <c r="B15" s="12" t="s">
        <v>96</v>
      </c>
      <c r="C15" s="12" t="s">
        <v>97</v>
      </c>
      <c r="D15" s="12" t="s">
        <v>98</v>
      </c>
      <c r="E15" s="12" t="s">
        <v>99</v>
      </c>
      <c r="F15" s="12" t="s">
        <v>41</v>
      </c>
      <c r="G15" s="12" t="s">
        <v>100</v>
      </c>
      <c r="H15" s="12" t="s">
        <v>59</v>
      </c>
      <c r="I15" s="12" t="s">
        <v>79</v>
      </c>
    </row>
    <row r="16" customFormat="false" ht="18" hidden="false" customHeight="true" outlineLevel="0" collapsed="false">
      <c r="A16" s="7" t="n">
        <v>1012</v>
      </c>
      <c r="B16" s="7" t="s">
        <v>45</v>
      </c>
      <c r="C16" s="7" t="s">
        <v>46</v>
      </c>
      <c r="D16" s="7" t="s">
        <v>47</v>
      </c>
      <c r="E16" s="7" t="s">
        <v>48</v>
      </c>
      <c r="F16" s="7" t="s">
        <v>49</v>
      </c>
      <c r="G16" s="7" t="s">
        <v>50</v>
      </c>
      <c r="H16" s="7" t="s">
        <v>51</v>
      </c>
      <c r="I16" s="7" t="s">
        <v>52</v>
      </c>
    </row>
    <row r="17" customFormat="false" ht="18" hidden="false" customHeight="true" outlineLevel="0" collapsed="false">
      <c r="A17" s="12" t="n">
        <v>1013</v>
      </c>
      <c r="B17" s="12" t="s">
        <v>101</v>
      </c>
      <c r="C17" s="12" t="s">
        <v>102</v>
      </c>
      <c r="D17" s="12" t="s">
        <v>103</v>
      </c>
      <c r="E17" s="12" t="s">
        <v>104</v>
      </c>
      <c r="F17" s="12" t="s">
        <v>57</v>
      </c>
      <c r="G17" s="12" t="s">
        <v>105</v>
      </c>
      <c r="H17" s="12" t="s">
        <v>43</v>
      </c>
      <c r="I17" s="12" t="s">
        <v>44</v>
      </c>
    </row>
    <row r="18" customFormat="false" ht="18" hidden="false" customHeight="true" outlineLevel="0" collapsed="false">
      <c r="A18" s="7" t="n">
        <v>1014</v>
      </c>
      <c r="B18" s="7" t="s">
        <v>106</v>
      </c>
      <c r="C18" s="7" t="s">
        <v>107</v>
      </c>
      <c r="D18" s="7" t="s">
        <v>108</v>
      </c>
      <c r="E18" s="7" t="s">
        <v>109</v>
      </c>
      <c r="F18" s="7" t="s">
        <v>41</v>
      </c>
      <c r="G18" s="7" t="s">
        <v>110</v>
      </c>
      <c r="H18" s="7"/>
      <c r="I18" s="7" t="s">
        <v>111</v>
      </c>
    </row>
    <row r="19" customFormat="false" ht="18" hidden="false" customHeight="true" outlineLevel="0" collapsed="false">
      <c r="A19" s="12" t="n">
        <v>1015</v>
      </c>
      <c r="B19" s="12" t="s">
        <v>112</v>
      </c>
      <c r="C19" s="12" t="s">
        <v>113</v>
      </c>
      <c r="D19" s="12" t="s">
        <v>114</v>
      </c>
      <c r="E19" s="12" t="s">
        <v>115</v>
      </c>
      <c r="F19" s="12" t="s">
        <v>49</v>
      </c>
      <c r="G19" s="12" t="s">
        <v>116</v>
      </c>
      <c r="H19" s="12" t="s">
        <v>59</v>
      </c>
      <c r="I19" s="12" t="s">
        <v>117</v>
      </c>
    </row>
  </sheetData>
  <mergeCells count="2">
    <mergeCell ref="A1:I1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13" t="s">
        <v>118</v>
      </c>
      <c r="B1" s="13"/>
      <c r="C1" s="13"/>
      <c r="D1" s="13"/>
      <c r="E1" s="13"/>
      <c r="F1" s="13"/>
      <c r="G1" s="13"/>
      <c r="H1" s="13"/>
      <c r="I1" s="13"/>
    </row>
    <row r="2" customFormat="false" ht="7.5" hidden="false" customHeight="true" outlineLevel="0" collapsed="false"/>
    <row r="3" customFormat="false" ht="30" hidden="false" customHeight="true" outlineLevel="0" collapsed="false">
      <c r="A3" s="14" t="s">
        <v>119</v>
      </c>
      <c r="B3" s="14"/>
      <c r="C3" s="14"/>
      <c r="D3" s="14"/>
      <c r="E3" s="14"/>
      <c r="F3" s="14"/>
      <c r="G3" s="14"/>
      <c r="H3" s="14"/>
      <c r="I3" s="14"/>
    </row>
    <row r="4" customFormat="false" ht="26.25" hidden="false" customHeight="true" outlineLevel="0" collapsed="false">
      <c r="A4" s="15" t="s">
        <v>28</v>
      </c>
      <c r="B4" s="15" t="s">
        <v>29</v>
      </c>
      <c r="C4" s="15" t="s">
        <v>30</v>
      </c>
      <c r="D4" s="15" t="s">
        <v>31</v>
      </c>
      <c r="E4" s="15" t="s">
        <v>32</v>
      </c>
      <c r="F4" s="15" t="s">
        <v>33</v>
      </c>
      <c r="G4" s="15" t="s">
        <v>34</v>
      </c>
      <c r="H4" s="15" t="s">
        <v>35</v>
      </c>
      <c r="I4" s="15" t="s">
        <v>36</v>
      </c>
    </row>
    <row r="5" customFormat="false" ht="18" hidden="false" customHeight="true" outlineLevel="0" collapsed="false">
      <c r="A5" s="16" t="n">
        <v>1001</v>
      </c>
      <c r="B5" s="16" t="s">
        <v>120</v>
      </c>
      <c r="C5" s="16" t="s">
        <v>38</v>
      </c>
      <c r="D5" s="16" t="s">
        <v>121</v>
      </c>
      <c r="E5" s="16" t="s">
        <v>122</v>
      </c>
      <c r="F5" s="16" t="s">
        <v>49</v>
      </c>
      <c r="G5" s="17" t="n">
        <v>15000</v>
      </c>
      <c r="H5" s="16" t="s">
        <v>59</v>
      </c>
      <c r="I5" s="16" t="s">
        <v>44</v>
      </c>
    </row>
    <row r="6" customFormat="false" ht="18" hidden="false" customHeight="true" outlineLevel="0" collapsed="false">
      <c r="A6" s="7" t="n">
        <v>1002</v>
      </c>
      <c r="B6" s="7" t="s">
        <v>123</v>
      </c>
      <c r="C6" s="7" t="s">
        <v>46</v>
      </c>
      <c r="D6" s="7" t="s">
        <v>124</v>
      </c>
      <c r="E6" s="7" t="s">
        <v>48</v>
      </c>
      <c r="F6" s="7" t="s">
        <v>49</v>
      </c>
      <c r="G6" s="18" t="n">
        <v>22500</v>
      </c>
      <c r="H6" s="7" t="s">
        <v>59</v>
      </c>
      <c r="I6" s="7" t="s">
        <v>79</v>
      </c>
    </row>
    <row r="7" customFormat="false" ht="18" hidden="false" customHeight="true" outlineLevel="0" collapsed="false">
      <c r="A7" s="16" t="n">
        <v>1003</v>
      </c>
      <c r="B7" s="16" t="s">
        <v>125</v>
      </c>
      <c r="C7" s="16" t="s">
        <v>54</v>
      </c>
      <c r="D7" s="16" t="s">
        <v>126</v>
      </c>
      <c r="E7" s="16" t="s">
        <v>127</v>
      </c>
      <c r="F7" s="16" t="s">
        <v>49</v>
      </c>
      <c r="G7" s="17" t="n">
        <v>18000</v>
      </c>
      <c r="H7" s="16" t="s">
        <v>59</v>
      </c>
      <c r="I7" s="16" t="s">
        <v>44</v>
      </c>
    </row>
    <row r="8" customFormat="false" ht="18" hidden="false" customHeight="true" outlineLevel="0" collapsed="false">
      <c r="A8" s="7" t="n">
        <v>1005</v>
      </c>
      <c r="B8" s="7" t="s">
        <v>61</v>
      </c>
      <c r="C8" s="7" t="s">
        <v>62</v>
      </c>
      <c r="D8" s="7" t="s">
        <v>128</v>
      </c>
      <c r="E8" s="7" t="s">
        <v>129</v>
      </c>
      <c r="F8" s="7" t="s">
        <v>49</v>
      </c>
      <c r="G8" s="18" t="n">
        <v>0</v>
      </c>
      <c r="H8" s="7" t="s">
        <v>130</v>
      </c>
      <c r="I8" s="7" t="s">
        <v>67</v>
      </c>
    </row>
    <row r="9" customFormat="false" ht="18" hidden="false" customHeight="true" outlineLevel="0" collapsed="false">
      <c r="A9" s="16" t="n">
        <v>1006</v>
      </c>
      <c r="B9" s="16" t="s">
        <v>131</v>
      </c>
      <c r="C9" s="16" t="s">
        <v>69</v>
      </c>
      <c r="D9" s="16" t="s">
        <v>132</v>
      </c>
      <c r="E9" s="16" t="s">
        <v>133</v>
      </c>
      <c r="F9" s="16" t="s">
        <v>49</v>
      </c>
      <c r="G9" s="17" t="n">
        <v>31000</v>
      </c>
      <c r="H9" s="16" t="s">
        <v>59</v>
      </c>
      <c r="I9" s="16" t="s">
        <v>111</v>
      </c>
    </row>
    <row r="10" customFormat="false" ht="18" hidden="false" customHeight="true" outlineLevel="0" collapsed="false">
      <c r="A10" s="7" t="n">
        <v>1007</v>
      </c>
      <c r="B10" s="7" t="s">
        <v>74</v>
      </c>
      <c r="C10" s="7" t="s">
        <v>75</v>
      </c>
      <c r="D10" s="7" t="s">
        <v>134</v>
      </c>
      <c r="E10" s="7" t="s">
        <v>135</v>
      </c>
      <c r="F10" s="7" t="s">
        <v>49</v>
      </c>
      <c r="G10" s="18" t="n">
        <v>27000</v>
      </c>
      <c r="H10" s="7" t="s">
        <v>59</v>
      </c>
      <c r="I10" s="7" t="s">
        <v>79</v>
      </c>
    </row>
    <row r="11" customFormat="false" ht="18" hidden="false" customHeight="true" outlineLevel="0" collapsed="false">
      <c r="A11" s="16" t="n">
        <v>1008</v>
      </c>
      <c r="B11" s="16" t="s">
        <v>136</v>
      </c>
      <c r="C11" s="16" t="s">
        <v>137</v>
      </c>
      <c r="D11" s="16" t="s">
        <v>138</v>
      </c>
      <c r="E11" s="16" t="s">
        <v>139</v>
      </c>
      <c r="F11" s="16" t="s">
        <v>49</v>
      </c>
      <c r="G11" s="17" t="n">
        <v>19500</v>
      </c>
      <c r="H11" s="16" t="s">
        <v>130</v>
      </c>
      <c r="I11" s="16" t="s">
        <v>67</v>
      </c>
    </row>
    <row r="12" customFormat="false" ht="18" hidden="false" customHeight="true" outlineLevel="0" collapsed="false">
      <c r="A12" s="7" t="n">
        <v>1009</v>
      </c>
      <c r="B12" s="7" t="s">
        <v>87</v>
      </c>
      <c r="C12" s="7" t="s">
        <v>128</v>
      </c>
      <c r="D12" s="7" t="s">
        <v>140</v>
      </c>
      <c r="E12" s="7" t="s">
        <v>141</v>
      </c>
      <c r="F12" s="7" t="s">
        <v>49</v>
      </c>
      <c r="G12" s="18" t="n">
        <v>45000</v>
      </c>
      <c r="H12" s="7" t="s">
        <v>59</v>
      </c>
      <c r="I12" s="7" t="s">
        <v>44</v>
      </c>
    </row>
    <row r="13" customFormat="false" ht="18" hidden="false" customHeight="true" outlineLevel="0" collapsed="false">
      <c r="A13" s="16" t="n">
        <v>1010</v>
      </c>
      <c r="B13" s="16" t="s">
        <v>142</v>
      </c>
      <c r="C13" s="16" t="s">
        <v>92</v>
      </c>
      <c r="D13" s="16" t="s">
        <v>143</v>
      </c>
      <c r="E13" s="16" t="s">
        <v>144</v>
      </c>
      <c r="F13" s="16" t="s">
        <v>49</v>
      </c>
      <c r="G13" s="17" t="n">
        <v>8750</v>
      </c>
      <c r="H13" s="16" t="s">
        <v>59</v>
      </c>
      <c r="I13" s="16" t="s">
        <v>128</v>
      </c>
    </row>
    <row r="14" customFormat="false" ht="18" hidden="false" customHeight="true" outlineLevel="0" collapsed="false">
      <c r="A14" s="7" t="n">
        <v>1011</v>
      </c>
      <c r="B14" s="7" t="s">
        <v>96</v>
      </c>
      <c r="C14" s="7" t="s">
        <v>97</v>
      </c>
      <c r="D14" s="7" t="s">
        <v>145</v>
      </c>
      <c r="E14" s="7" t="s">
        <v>146</v>
      </c>
      <c r="F14" s="7" t="s">
        <v>49</v>
      </c>
      <c r="G14" s="18" t="n">
        <v>33000</v>
      </c>
      <c r="H14" s="7" t="s">
        <v>59</v>
      </c>
      <c r="I14" s="7" t="s">
        <v>79</v>
      </c>
    </row>
    <row r="15" customFormat="false" ht="18" hidden="false" customHeight="true" outlineLevel="0" collapsed="false">
      <c r="A15" s="16" t="n">
        <v>1013</v>
      </c>
      <c r="B15" s="16" t="s">
        <v>101</v>
      </c>
      <c r="C15" s="16" t="s">
        <v>102</v>
      </c>
      <c r="D15" s="16" t="s">
        <v>147</v>
      </c>
      <c r="E15" s="16" t="s">
        <v>148</v>
      </c>
      <c r="F15" s="16" t="s">
        <v>49</v>
      </c>
      <c r="G15" s="17" t="n">
        <v>0</v>
      </c>
      <c r="H15" s="16" t="s">
        <v>59</v>
      </c>
      <c r="I15" s="16" t="s">
        <v>44</v>
      </c>
    </row>
    <row r="16" customFormat="false" ht="18" hidden="false" customHeight="true" outlineLevel="0" collapsed="false">
      <c r="A16" s="7" t="n">
        <v>1014</v>
      </c>
      <c r="B16" s="7" t="s">
        <v>149</v>
      </c>
      <c r="C16" s="7" t="s">
        <v>107</v>
      </c>
      <c r="D16" s="7" t="s">
        <v>150</v>
      </c>
      <c r="E16" s="7" t="s">
        <v>151</v>
      </c>
      <c r="F16" s="7" t="s">
        <v>49</v>
      </c>
      <c r="G16" s="18" t="n">
        <v>28000</v>
      </c>
      <c r="H16" s="7" t="s">
        <v>128</v>
      </c>
      <c r="I16" s="7" t="s">
        <v>111</v>
      </c>
    </row>
    <row r="17" customFormat="false" ht="18" hidden="false" customHeight="true" outlineLevel="0" collapsed="false">
      <c r="A17" s="16" t="n">
        <v>1015</v>
      </c>
      <c r="B17" s="16" t="s">
        <v>152</v>
      </c>
      <c r="C17" s="16" t="s">
        <v>113</v>
      </c>
      <c r="D17" s="16" t="s">
        <v>153</v>
      </c>
      <c r="E17" s="16" t="s">
        <v>115</v>
      </c>
      <c r="F17" s="16" t="s">
        <v>49</v>
      </c>
      <c r="G17" s="17" t="n">
        <v>41000</v>
      </c>
      <c r="H17" s="16" t="s">
        <v>59</v>
      </c>
      <c r="I17" s="16" t="s">
        <v>44</v>
      </c>
    </row>
  </sheetData>
  <mergeCells count="2">
    <mergeCell ref="A1:I1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45"/>
    <col collapsed="false" customWidth="true" hidden="false" outlineLevel="0" max="6" min="6" style="1" width="16"/>
    <col collapsed="false" customWidth="true" hidden="false" outlineLevel="0" max="7" min="7" style="1" width="12"/>
  </cols>
  <sheetData>
    <row r="1" customFormat="false" ht="27.75" hidden="false" customHeight="true" outlineLevel="0" collapsed="false">
      <c r="A1" s="2" t="s">
        <v>154</v>
      </c>
      <c r="B1" s="2"/>
      <c r="C1" s="2"/>
      <c r="D1" s="2"/>
      <c r="E1" s="2"/>
      <c r="F1" s="2"/>
      <c r="G1" s="2"/>
    </row>
    <row r="2" customFormat="false" ht="7.5" hidden="false" customHeight="true" outlineLevel="0" collapsed="false"/>
    <row r="3" customFormat="false" ht="25.5" hidden="false" customHeight="true" outlineLevel="0" collapsed="false">
      <c r="A3" s="19" t="s">
        <v>155</v>
      </c>
      <c r="B3" s="19"/>
      <c r="C3" s="19"/>
      <c r="D3" s="19"/>
      <c r="E3" s="19"/>
      <c r="F3" s="19"/>
      <c r="G3" s="19"/>
    </row>
    <row r="4" customFormat="false" ht="15" hidden="false" customHeight="true" outlineLevel="0" collapsed="false">
      <c r="A4" s="20" t="s">
        <v>156</v>
      </c>
      <c r="B4" s="20" t="s">
        <v>157</v>
      </c>
      <c r="C4" s="20" t="s">
        <v>158</v>
      </c>
      <c r="D4" s="20" t="s">
        <v>159</v>
      </c>
      <c r="E4" s="20" t="s">
        <v>160</v>
      </c>
      <c r="F4" s="20" t="s">
        <v>161</v>
      </c>
      <c r="G4" s="20" t="s">
        <v>35</v>
      </c>
    </row>
    <row r="5" customFormat="false" ht="31.5" hidden="false" customHeight="true" outlineLevel="0" collapsed="false">
      <c r="A5" s="21" t="n">
        <v>1</v>
      </c>
      <c r="B5" s="21" t="s">
        <v>162</v>
      </c>
      <c r="C5" s="21" t="s">
        <v>163</v>
      </c>
      <c r="D5" s="21" t="s">
        <v>164</v>
      </c>
      <c r="E5" s="21" t="s">
        <v>165</v>
      </c>
      <c r="F5" s="21" t="s">
        <v>166</v>
      </c>
      <c r="G5" s="22" t="s">
        <v>167</v>
      </c>
    </row>
    <row r="6" customFormat="false" ht="31.5" hidden="false" customHeight="true" outlineLevel="0" collapsed="false">
      <c r="A6" s="23" t="n">
        <v>2</v>
      </c>
      <c r="B6" s="23" t="s">
        <v>168</v>
      </c>
      <c r="C6" s="23" t="s">
        <v>29</v>
      </c>
      <c r="D6" s="23" t="s">
        <v>169</v>
      </c>
      <c r="E6" s="23" t="s">
        <v>170</v>
      </c>
      <c r="F6" s="23" t="s">
        <v>171</v>
      </c>
      <c r="G6" s="24" t="s">
        <v>167</v>
      </c>
    </row>
    <row r="7" customFormat="false" ht="31.5" hidden="false" customHeight="true" outlineLevel="0" collapsed="false">
      <c r="A7" s="21" t="n">
        <v>3</v>
      </c>
      <c r="B7" s="21" t="s">
        <v>172</v>
      </c>
      <c r="C7" s="21" t="s">
        <v>173</v>
      </c>
      <c r="D7" s="21" t="s">
        <v>174</v>
      </c>
      <c r="E7" s="21" t="s">
        <v>175</v>
      </c>
      <c r="F7" s="21" t="s">
        <v>176</v>
      </c>
      <c r="G7" s="22" t="s">
        <v>167</v>
      </c>
    </row>
    <row r="8" customFormat="false" ht="31.5" hidden="false" customHeight="true" outlineLevel="0" collapsed="false">
      <c r="A8" s="23" t="n">
        <v>4</v>
      </c>
      <c r="B8" s="23" t="s">
        <v>177</v>
      </c>
      <c r="C8" s="23" t="s">
        <v>32</v>
      </c>
      <c r="D8" s="23" t="s">
        <v>178</v>
      </c>
      <c r="E8" s="23" t="s">
        <v>179</v>
      </c>
      <c r="F8" s="23" t="s">
        <v>171</v>
      </c>
      <c r="G8" s="24" t="s">
        <v>167</v>
      </c>
    </row>
    <row r="9" customFormat="false" ht="31.5" hidden="false" customHeight="true" outlineLevel="0" collapsed="false">
      <c r="A9" s="21" t="n">
        <v>5</v>
      </c>
      <c r="B9" s="21" t="s">
        <v>180</v>
      </c>
      <c r="C9" s="21" t="s">
        <v>31</v>
      </c>
      <c r="D9" s="21" t="s">
        <v>181</v>
      </c>
      <c r="E9" s="21" t="s">
        <v>182</v>
      </c>
      <c r="F9" s="21" t="s">
        <v>171</v>
      </c>
      <c r="G9" s="22" t="s">
        <v>167</v>
      </c>
    </row>
    <row r="10" customFormat="false" ht="31.5" hidden="false" customHeight="true" outlineLevel="0" collapsed="false">
      <c r="A10" s="23" t="n">
        <v>6</v>
      </c>
      <c r="B10" s="23" t="s">
        <v>183</v>
      </c>
      <c r="C10" s="23" t="s">
        <v>30</v>
      </c>
      <c r="D10" s="23" t="s">
        <v>184</v>
      </c>
      <c r="E10" s="23" t="s">
        <v>185</v>
      </c>
      <c r="F10" s="23" t="s">
        <v>186</v>
      </c>
      <c r="G10" s="24" t="s">
        <v>167</v>
      </c>
    </row>
    <row r="11" customFormat="false" ht="31.5" hidden="false" customHeight="true" outlineLevel="0" collapsed="false">
      <c r="A11" s="21" t="n">
        <v>7</v>
      </c>
      <c r="B11" s="21" t="s">
        <v>187</v>
      </c>
      <c r="C11" s="21" t="s">
        <v>34</v>
      </c>
      <c r="D11" s="21" t="s">
        <v>188</v>
      </c>
      <c r="E11" s="21" t="s">
        <v>189</v>
      </c>
      <c r="F11" s="21" t="s">
        <v>186</v>
      </c>
      <c r="G11" s="22" t="s">
        <v>167</v>
      </c>
    </row>
    <row r="12" customFormat="false" ht="31.5" hidden="false" customHeight="true" outlineLevel="0" collapsed="false">
      <c r="A12" s="23" t="n">
        <v>8</v>
      </c>
      <c r="B12" s="23" t="s">
        <v>190</v>
      </c>
      <c r="C12" s="23" t="s">
        <v>34</v>
      </c>
      <c r="D12" s="23" t="s">
        <v>191</v>
      </c>
      <c r="E12" s="23" t="s">
        <v>192</v>
      </c>
      <c r="F12" s="23" t="s">
        <v>193</v>
      </c>
      <c r="G12" s="24" t="s">
        <v>167</v>
      </c>
    </row>
    <row r="13" customFormat="false" ht="31.5" hidden="false" customHeight="true" outlineLevel="0" collapsed="false">
      <c r="A13" s="21" t="n">
        <v>9</v>
      </c>
      <c r="B13" s="21" t="s">
        <v>194</v>
      </c>
      <c r="C13" s="21" t="s">
        <v>33</v>
      </c>
      <c r="D13" s="21" t="s">
        <v>195</v>
      </c>
      <c r="E13" s="21" t="s">
        <v>196</v>
      </c>
      <c r="F13" s="21" t="s">
        <v>171</v>
      </c>
      <c r="G13" s="22" t="s">
        <v>167</v>
      </c>
    </row>
    <row r="14" customFormat="false" ht="31.5" hidden="false" customHeight="true" outlineLevel="0" collapsed="false">
      <c r="A14" s="23" t="n">
        <v>10</v>
      </c>
      <c r="B14" s="23" t="s">
        <v>197</v>
      </c>
      <c r="C14" s="23" t="s">
        <v>35</v>
      </c>
      <c r="D14" s="23" t="s">
        <v>198</v>
      </c>
      <c r="E14" s="23" t="s">
        <v>199</v>
      </c>
      <c r="F14" s="23" t="s">
        <v>171</v>
      </c>
      <c r="G14" s="24" t="s">
        <v>167</v>
      </c>
    </row>
    <row r="15" customFormat="false" ht="31.5" hidden="false" customHeight="true" outlineLevel="0" collapsed="false">
      <c r="A15" s="21" t="n">
        <v>11</v>
      </c>
      <c r="B15" s="21" t="s">
        <v>200</v>
      </c>
      <c r="C15" s="21" t="s">
        <v>36</v>
      </c>
      <c r="D15" s="21" t="s">
        <v>201</v>
      </c>
      <c r="E15" s="21" t="s">
        <v>202</v>
      </c>
      <c r="F15" s="21" t="s">
        <v>203</v>
      </c>
      <c r="G15" s="22" t="s">
        <v>167</v>
      </c>
    </row>
    <row r="16" customFormat="false" ht="31.5" hidden="false" customHeight="true" outlineLevel="0" collapsed="false">
      <c r="A16" s="23" t="n">
        <v>12</v>
      </c>
      <c r="B16" s="23" t="s">
        <v>204</v>
      </c>
      <c r="C16" s="23" t="s">
        <v>36</v>
      </c>
      <c r="D16" s="23" t="s">
        <v>205</v>
      </c>
      <c r="E16" s="23" t="s">
        <v>206</v>
      </c>
      <c r="F16" s="23" t="s">
        <v>207</v>
      </c>
      <c r="G16" s="24" t="s">
        <v>167</v>
      </c>
    </row>
    <row r="17" customFormat="false" ht="31.5" hidden="false" customHeight="true" outlineLevel="0" collapsed="false">
      <c r="A17" s="21" t="n">
        <v>13</v>
      </c>
      <c r="B17" s="21" t="s">
        <v>208</v>
      </c>
      <c r="C17" s="21" t="s">
        <v>35</v>
      </c>
      <c r="D17" s="21" t="s">
        <v>209</v>
      </c>
      <c r="E17" s="21" t="s">
        <v>206</v>
      </c>
      <c r="F17" s="21" t="s">
        <v>207</v>
      </c>
      <c r="G17" s="22" t="s">
        <v>167</v>
      </c>
    </row>
    <row r="18" customFormat="false" ht="31.5" hidden="false" customHeight="true" outlineLevel="0" collapsed="false">
      <c r="A18" s="23" t="n">
        <v>14</v>
      </c>
      <c r="B18" s="23" t="s">
        <v>210</v>
      </c>
      <c r="C18" s="23" t="s">
        <v>30</v>
      </c>
      <c r="D18" s="23" t="s">
        <v>211</v>
      </c>
      <c r="E18" s="23" t="s">
        <v>212</v>
      </c>
      <c r="F18" s="23" t="s">
        <v>207</v>
      </c>
      <c r="G18" s="24" t="s">
        <v>167</v>
      </c>
    </row>
    <row r="21" customFormat="false" ht="27.75" hidden="false" customHeight="true" outlineLevel="0" collapsed="false">
      <c r="A21" s="25" t="s">
        <v>213</v>
      </c>
      <c r="B21" s="25"/>
      <c r="C21" s="25"/>
      <c r="D21" s="25"/>
      <c r="E21" s="25"/>
      <c r="F21" s="25"/>
      <c r="G21" s="25"/>
    </row>
  </sheetData>
  <mergeCells count="3">
    <mergeCell ref="A1:G1"/>
    <mergeCell ref="A3:G3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8" min="5" style="1" width="3"/>
  </cols>
  <sheetData>
    <row r="1" customFormat="false" ht="27.75" hidden="false" customHeight="true" outlineLevel="0" collapsed="false">
      <c r="A1" s="2" t="s">
        <v>214</v>
      </c>
      <c r="B1" s="2"/>
      <c r="C1" s="2"/>
      <c r="D1" s="2"/>
      <c r="E1" s="2"/>
      <c r="F1" s="2"/>
      <c r="G1" s="2"/>
      <c r="H1" s="2"/>
    </row>
    <row r="2" customFormat="false" ht="9.75" hidden="false" customHeight="true" outlineLevel="0" collapsed="false"/>
    <row r="3" customFormat="false" ht="21.75" hidden="false" customHeight="true" outlineLevel="0" collapsed="false">
      <c r="A3" s="26" t="s">
        <v>215</v>
      </c>
      <c r="B3" s="26"/>
      <c r="C3" s="27" t="s">
        <v>216</v>
      </c>
      <c r="D3" s="27"/>
      <c r="E3" s="28" t="s">
        <v>217</v>
      </c>
      <c r="F3" s="28"/>
      <c r="G3" s="26" t="s">
        <v>218</v>
      </c>
      <c r="H3" s="26"/>
    </row>
    <row r="4" customFormat="false" ht="34.5" hidden="false" customHeight="true" outlineLevel="0" collapsed="false">
      <c r="A4" s="29" t="n">
        <f aca="false">COUNTA('✅ CLEAN Data'!A5:A17)</f>
        <v>13</v>
      </c>
      <c r="B4" s="29"/>
      <c r="C4" s="30" t="n">
        <f aca="false">SUM('✅ CLEAN Data'!G5:G17)</f>
        <v>288750</v>
      </c>
      <c r="D4" s="30"/>
      <c r="E4" s="31" t="n">
        <f aca="false">COUNTIF('✅ CLEAN Data'!H5:H17,"Active")</f>
        <v>10</v>
      </c>
      <c r="F4" s="31"/>
      <c r="G4" s="32" t="n">
        <f aca="false">IFERROR(AVERAGE(IF('✅ CLEAN Data'!G5:G17&gt;0,'✅ CLEAN Data'!G5:G17)),0)</f>
        <v>0</v>
      </c>
      <c r="H4" s="32"/>
    </row>
    <row r="5" customFormat="false" ht="24.75" hidden="false" customHeight="true" outlineLevel="0" collapsed="false">
      <c r="A5" s="29"/>
      <c r="B5" s="29"/>
      <c r="C5" s="30"/>
      <c r="D5" s="30"/>
      <c r="E5" s="31"/>
      <c r="F5" s="31"/>
      <c r="G5" s="32"/>
      <c r="H5" s="32"/>
    </row>
    <row r="6" customFormat="false" ht="19.5" hidden="false" customHeight="true" outlineLevel="0" collapsed="false">
      <c r="A6" s="29"/>
      <c r="B6" s="29"/>
      <c r="C6" s="30"/>
      <c r="D6" s="30"/>
      <c r="E6" s="31"/>
      <c r="F6" s="31"/>
      <c r="G6" s="32"/>
      <c r="H6" s="32"/>
    </row>
    <row r="7" customFormat="false" ht="13.5" hidden="false" customHeight="true" outlineLevel="0" collapsed="false"/>
    <row r="8" customFormat="false" ht="21.75" hidden="false" customHeight="true" outlineLevel="0" collapsed="false">
      <c r="A8" s="5" t="s">
        <v>219</v>
      </c>
      <c r="B8" s="5"/>
      <c r="C8" s="5"/>
      <c r="D8" s="5"/>
    </row>
    <row r="9" customFormat="false" ht="15" hidden="false" customHeight="true" outlineLevel="0" collapsed="false">
      <c r="A9" s="33" t="s">
        <v>36</v>
      </c>
      <c r="B9" s="33" t="s">
        <v>220</v>
      </c>
      <c r="C9" s="33" t="s">
        <v>221</v>
      </c>
      <c r="D9" s="33" t="s">
        <v>222</v>
      </c>
    </row>
    <row r="10" customFormat="false" ht="18" hidden="false" customHeight="true" outlineLevel="0" collapsed="false">
      <c r="A10" s="7" t="s">
        <v>44</v>
      </c>
      <c r="B10" s="34" t="n">
        <f aca="false">COUNTIF('✅ CLEAN Data'!I5:I17,A10)</f>
        <v>5</v>
      </c>
      <c r="C10" s="35" t="n">
        <f aca="false">SUMIF('✅ CLEAN Data'!I5:I17,A10,'✅ CLEAN Data'!G5:G17)</f>
        <v>119000</v>
      </c>
      <c r="D10" s="35" t="n">
        <f aca="false">IFERROR(AVERAGEIF('✅ CLEAN Data'!I5:I17,A10,'✅ CLEAN Data'!G5:G17),0)</f>
        <v>23800</v>
      </c>
    </row>
    <row r="11" customFormat="false" ht="18" hidden="false" customHeight="true" outlineLevel="0" collapsed="false">
      <c r="A11" s="8" t="s">
        <v>79</v>
      </c>
      <c r="B11" s="36" t="n">
        <f aca="false">COUNTIF('✅ CLEAN Data'!I5:I17,A11)</f>
        <v>3</v>
      </c>
      <c r="C11" s="37" t="n">
        <f aca="false">SUMIF('✅ CLEAN Data'!I5:I17,A11,'✅ CLEAN Data'!G5:G17)</f>
        <v>82500</v>
      </c>
      <c r="D11" s="37" t="n">
        <f aca="false">IFERROR(AVERAGEIF('✅ CLEAN Data'!I5:I17,A11,'✅ CLEAN Data'!G5:G17),0)</f>
        <v>27500</v>
      </c>
    </row>
    <row r="12" customFormat="false" ht="18" hidden="false" customHeight="true" outlineLevel="0" collapsed="false">
      <c r="A12" s="7" t="s">
        <v>67</v>
      </c>
      <c r="B12" s="34" t="n">
        <f aca="false">COUNTIF('✅ CLEAN Data'!I5:I17,A12)</f>
        <v>2</v>
      </c>
      <c r="C12" s="35" t="n">
        <f aca="false">SUMIF('✅ CLEAN Data'!I5:I17,A12,'✅ CLEAN Data'!G5:G17)</f>
        <v>19500</v>
      </c>
      <c r="D12" s="35" t="n">
        <f aca="false">IFERROR(AVERAGEIF('✅ CLEAN Data'!I5:I17,A12,'✅ CLEAN Data'!G5:G17),0)</f>
        <v>9750</v>
      </c>
    </row>
    <row r="13" customFormat="false" ht="18" hidden="false" customHeight="true" outlineLevel="0" collapsed="false">
      <c r="A13" s="8" t="s">
        <v>111</v>
      </c>
      <c r="B13" s="36" t="n">
        <f aca="false">COUNTIF('✅ CLEAN Data'!I5:I17,A13)</f>
        <v>2</v>
      </c>
      <c r="C13" s="37" t="n">
        <f aca="false">SUMIF('✅ CLEAN Data'!I5:I17,A13,'✅ CLEAN Data'!G5:G17)</f>
        <v>59000</v>
      </c>
      <c r="D13" s="37" t="n">
        <f aca="false">IFERROR(AVERAGEIF('✅ CLEAN Data'!I5:I17,A13,'✅ CLEAN Data'!G5:G17),0)</f>
        <v>29500</v>
      </c>
    </row>
    <row r="14" customFormat="false" ht="19.5" hidden="false" customHeight="true" outlineLevel="0" collapsed="false">
      <c r="A14" s="38" t="s">
        <v>223</v>
      </c>
      <c r="B14" s="38" t="n">
        <f aca="false">SUM(B10:B13)</f>
        <v>12</v>
      </c>
      <c r="C14" s="39" t="n">
        <f aca="false">SUM(C10:C13)</f>
        <v>280000</v>
      </c>
      <c r="D14" s="39" t="n">
        <f aca="false">IFERROR(C14/B14,0)</f>
        <v>23333.3333333333</v>
      </c>
    </row>
    <row r="15" customFormat="false" ht="13.5" hidden="false" customHeight="true" outlineLevel="0" collapsed="false"/>
    <row r="16" customFormat="false" ht="21.75" hidden="false" customHeight="true" outlineLevel="0" collapsed="false">
      <c r="A16" s="5" t="s">
        <v>224</v>
      </c>
      <c r="B16" s="5"/>
      <c r="C16" s="5"/>
      <c r="D16" s="5"/>
    </row>
    <row r="17" customFormat="false" ht="15" hidden="false" customHeight="true" outlineLevel="0" collapsed="false">
      <c r="A17" s="33" t="s">
        <v>35</v>
      </c>
      <c r="B17" s="33" t="s">
        <v>225</v>
      </c>
      <c r="C17" s="33" t="s">
        <v>226</v>
      </c>
      <c r="D17" s="33" t="s">
        <v>227</v>
      </c>
    </row>
    <row r="18" customFormat="false" ht="18" hidden="false" customHeight="true" outlineLevel="0" collapsed="false">
      <c r="A18" s="7" t="s">
        <v>59</v>
      </c>
      <c r="B18" s="34" t="n">
        <f aca="false">COUNTIF('✅ CLEAN Data'!H5:H17,A18)</f>
        <v>10</v>
      </c>
      <c r="C18" s="40" t="n">
        <f aca="false">IFERROR(COUNTIF('✅ CLEAN Data'!H5:H17,A18)/COUNTA('✅ CLEAN Data'!H5:H17),0)</f>
        <v>0.769230769230769</v>
      </c>
      <c r="D18" s="35" t="n">
        <f aca="false">SUMIF('✅ CLEAN Data'!H5:H17,A18,'✅ CLEAN Data'!G5:G17)</f>
        <v>241250</v>
      </c>
    </row>
    <row r="19" customFormat="false" ht="18" hidden="false" customHeight="true" outlineLevel="0" collapsed="false">
      <c r="A19" s="8" t="s">
        <v>130</v>
      </c>
      <c r="B19" s="36" t="n">
        <f aca="false">COUNTIF('✅ CLEAN Data'!H5:H17,A19)</f>
        <v>2</v>
      </c>
      <c r="C19" s="41" t="n">
        <f aca="false">IFERROR(COUNTIF('✅ CLEAN Data'!H5:H17,A19)/COUNTA('✅ CLEAN Data'!H5:H17),0)</f>
        <v>0.153846153846154</v>
      </c>
      <c r="D19" s="37" t="n">
        <f aca="false">SUMIF('✅ CLEAN Data'!H5:H17,A19,'✅ CLEAN Data'!G5:G17)</f>
        <v>19500</v>
      </c>
    </row>
    <row r="20" customFormat="false" ht="18" hidden="false" customHeight="true" outlineLevel="0" collapsed="false">
      <c r="A20" s="7" t="s">
        <v>128</v>
      </c>
      <c r="B20" s="34" t="n">
        <f aca="false">COUNTIF('✅ CLEAN Data'!H5:H17,A20)</f>
        <v>1</v>
      </c>
      <c r="C20" s="40" t="n">
        <f aca="false">IFERROR(COUNTIF('✅ CLEAN Data'!H5:H17,A20)/COUNTA('✅ CLEAN Data'!H5:H17),0)</f>
        <v>0.0769230769230769</v>
      </c>
      <c r="D20" s="35" t="n">
        <f aca="false">SUMIF('✅ CLEAN Data'!H5:H17,A20,'✅ CLEAN Data'!G5:G17)</f>
        <v>28000</v>
      </c>
    </row>
  </sheetData>
  <mergeCells count="11">
    <mergeCell ref="A1:H1"/>
    <mergeCell ref="A3:B3"/>
    <mergeCell ref="C3:D3"/>
    <mergeCell ref="E3:F3"/>
    <mergeCell ref="G3:H3"/>
    <mergeCell ref="A4:B6"/>
    <mergeCell ref="C4:D6"/>
    <mergeCell ref="E4:F6"/>
    <mergeCell ref="G4:H6"/>
    <mergeCell ref="A8:D8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4"/>
    <col collapsed="false" customWidth="true" hidden="false" outlineLevel="0" max="10" min="10" style="1" width="12"/>
    <col collapsed="false" customWidth="true" hidden="false" outlineLevel="0" max="11" min="11" style="1" width="16"/>
  </cols>
  <sheetData>
    <row r="1" customFormat="false" ht="27.75" hidden="false" customHeight="true" outlineLevel="0" collapsed="false">
      <c r="A1" s="42" t="s">
        <v>228</v>
      </c>
      <c r="B1" s="42"/>
      <c r="C1" s="42"/>
      <c r="D1" s="42"/>
      <c r="E1" s="42"/>
      <c r="F1" s="42"/>
      <c r="G1" s="42"/>
      <c r="H1" s="42"/>
      <c r="I1" s="42"/>
      <c r="J1" s="42"/>
    </row>
    <row r="2" customFormat="false" ht="9.75" hidden="false" customHeight="true" outlineLevel="0" collapsed="false"/>
    <row r="3" customFormat="false" ht="21.75" hidden="false" customHeight="true" outlineLevel="0" collapsed="false">
      <c r="A3" s="43" t="s">
        <v>229</v>
      </c>
      <c r="B3" s="43"/>
      <c r="C3" s="43"/>
      <c r="D3" s="43"/>
      <c r="E3" s="43"/>
      <c r="G3" s="44" t="s">
        <v>230</v>
      </c>
      <c r="H3" s="44"/>
      <c r="I3" s="44"/>
      <c r="J3" s="44"/>
      <c r="K3" s="44"/>
    </row>
    <row r="4" customFormat="false" ht="26.25" hidden="false" customHeight="true" outlineLevel="0" collapsed="false">
      <c r="A4" s="11" t="s">
        <v>28</v>
      </c>
      <c r="B4" s="11" t="s">
        <v>29</v>
      </c>
      <c r="C4" s="11" t="s">
        <v>30</v>
      </c>
      <c r="D4" s="11" t="s">
        <v>231</v>
      </c>
      <c r="E4" s="11" t="s">
        <v>232</v>
      </c>
      <c r="G4" s="15" t="s">
        <v>28</v>
      </c>
      <c r="H4" s="15" t="s">
        <v>29</v>
      </c>
      <c r="I4" s="15" t="s">
        <v>30</v>
      </c>
      <c r="J4" s="15" t="s">
        <v>231</v>
      </c>
      <c r="K4" s="15" t="s">
        <v>233</v>
      </c>
    </row>
    <row r="5" customFormat="false" ht="18" hidden="false" customHeight="true" outlineLevel="0" collapsed="false">
      <c r="A5" s="45" t="n">
        <v>1001</v>
      </c>
      <c r="B5" s="45" t="s">
        <v>120</v>
      </c>
      <c r="C5" s="45" t="s">
        <v>38</v>
      </c>
      <c r="D5" s="46" t="n">
        <v>15000</v>
      </c>
      <c r="E5" s="45"/>
      <c r="G5" s="47" t="n">
        <v>1001</v>
      </c>
      <c r="H5" s="47" t="s">
        <v>120</v>
      </c>
      <c r="I5" s="47" t="s">
        <v>38</v>
      </c>
      <c r="J5" s="48" t="n">
        <v>15000</v>
      </c>
      <c r="K5" s="49" t="s">
        <v>234</v>
      </c>
    </row>
    <row r="6" customFormat="false" ht="18" hidden="false" customHeight="true" outlineLevel="0" collapsed="false">
      <c r="A6" s="50" t="n">
        <v>1002</v>
      </c>
      <c r="B6" s="50" t="s">
        <v>123</v>
      </c>
      <c r="C6" s="50" t="s">
        <v>46</v>
      </c>
      <c r="D6" s="51" t="n">
        <v>22500</v>
      </c>
      <c r="E6" s="50"/>
      <c r="G6" s="50" t="n">
        <v>1002</v>
      </c>
      <c r="H6" s="50" t="s">
        <v>123</v>
      </c>
      <c r="I6" s="50" t="s">
        <v>46</v>
      </c>
      <c r="J6" s="51" t="n">
        <v>22500</v>
      </c>
      <c r="K6" s="52" t="s">
        <v>234</v>
      </c>
    </row>
    <row r="7" customFormat="false" ht="18" hidden="false" customHeight="true" outlineLevel="0" collapsed="false">
      <c r="A7" s="45" t="n">
        <v>1003</v>
      </c>
      <c r="B7" s="45" t="s">
        <v>125</v>
      </c>
      <c r="C7" s="45" t="s">
        <v>54</v>
      </c>
      <c r="D7" s="46" t="n">
        <v>18000</v>
      </c>
      <c r="E7" s="45"/>
      <c r="G7" s="47" t="n">
        <v>1003</v>
      </c>
      <c r="H7" s="47" t="s">
        <v>125</v>
      </c>
      <c r="I7" s="47" t="s">
        <v>54</v>
      </c>
      <c r="J7" s="48" t="n">
        <v>18000</v>
      </c>
      <c r="K7" s="49" t="s">
        <v>234</v>
      </c>
    </row>
    <row r="8" customFormat="false" ht="18" hidden="false" customHeight="true" outlineLevel="0" collapsed="false">
      <c r="A8" s="53" t="n">
        <v>1004</v>
      </c>
      <c r="B8" s="53" t="s">
        <v>120</v>
      </c>
      <c r="C8" s="53" t="s">
        <v>38</v>
      </c>
      <c r="D8" s="54" t="n">
        <v>15000</v>
      </c>
      <c r="E8" s="53" t="s">
        <v>235</v>
      </c>
      <c r="G8" s="50" t="n">
        <v>1005</v>
      </c>
      <c r="H8" s="50" t="s">
        <v>61</v>
      </c>
      <c r="I8" s="50" t="s">
        <v>62</v>
      </c>
      <c r="J8" s="51" t="n">
        <v>0</v>
      </c>
      <c r="K8" s="52" t="s">
        <v>234</v>
      </c>
    </row>
    <row r="9" customFormat="false" ht="18" hidden="false" customHeight="true" outlineLevel="0" collapsed="false">
      <c r="A9" s="45" t="n">
        <v>1005</v>
      </c>
      <c r="B9" s="45" t="s">
        <v>61</v>
      </c>
      <c r="C9" s="45" t="s">
        <v>62</v>
      </c>
      <c r="D9" s="46" t="n">
        <v>0</v>
      </c>
      <c r="E9" s="45"/>
      <c r="G9" s="47" t="n">
        <v>1006</v>
      </c>
      <c r="H9" s="47" t="s">
        <v>131</v>
      </c>
      <c r="I9" s="47" t="s">
        <v>69</v>
      </c>
      <c r="J9" s="48" t="n">
        <v>31000</v>
      </c>
      <c r="K9" s="49" t="s">
        <v>234</v>
      </c>
    </row>
    <row r="10" customFormat="false" ht="18" hidden="false" customHeight="true" outlineLevel="0" collapsed="false">
      <c r="A10" s="50" t="n">
        <v>1006</v>
      </c>
      <c r="B10" s="50" t="s">
        <v>131</v>
      </c>
      <c r="C10" s="50" t="s">
        <v>69</v>
      </c>
      <c r="D10" s="51" t="n">
        <v>31000</v>
      </c>
      <c r="E10" s="50"/>
      <c r="G10" s="50" t="n">
        <v>1007</v>
      </c>
      <c r="H10" s="50" t="s">
        <v>74</v>
      </c>
      <c r="I10" s="50" t="s">
        <v>75</v>
      </c>
      <c r="J10" s="51" t="n">
        <v>27000</v>
      </c>
      <c r="K10" s="52" t="s">
        <v>234</v>
      </c>
    </row>
    <row r="11" customFormat="false" ht="18" hidden="false" customHeight="true" outlineLevel="0" collapsed="false">
      <c r="A11" s="53" t="n">
        <v>1012</v>
      </c>
      <c r="B11" s="53" t="s">
        <v>123</v>
      </c>
      <c r="C11" s="53" t="s">
        <v>46</v>
      </c>
      <c r="D11" s="54" t="n">
        <v>22500</v>
      </c>
      <c r="E11" s="53" t="s">
        <v>235</v>
      </c>
    </row>
    <row r="12" customFormat="false" ht="18" hidden="false" customHeight="true" outlineLevel="0" collapsed="false">
      <c r="A12" s="50" t="n">
        <v>1007</v>
      </c>
      <c r="B12" s="50" t="s">
        <v>74</v>
      </c>
      <c r="C12" s="50" t="s">
        <v>75</v>
      </c>
      <c r="D12" s="51" t="n">
        <v>27000</v>
      </c>
      <c r="E12" s="50"/>
    </row>
    <row r="14" customFormat="false" ht="21.75" hidden="false" customHeight="true" outlineLevel="0" collapsed="false">
      <c r="A14" s="55" t="s">
        <v>236</v>
      </c>
      <c r="B14" s="55"/>
      <c r="C14" s="55"/>
      <c r="D14" s="55"/>
      <c r="E14" s="55"/>
      <c r="G14" s="56" t="s">
        <v>237</v>
      </c>
      <c r="H14" s="56"/>
      <c r="I14" s="56"/>
      <c r="J14" s="56"/>
      <c r="K14" s="56"/>
    </row>
  </sheetData>
  <mergeCells count="5">
    <mergeCell ref="A1:J1"/>
    <mergeCell ref="A3:E3"/>
    <mergeCell ref="G3:K3"/>
    <mergeCell ref="A14:E14"/>
    <mergeCell ref="G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5" min="4" style="1" width="18"/>
  </cols>
  <sheetData>
    <row r="1" customFormat="false" ht="27.75" hidden="false" customHeight="true" outlineLevel="0" collapsed="false">
      <c r="A1" s="57" t="s">
        <v>238</v>
      </c>
      <c r="B1" s="57"/>
      <c r="C1" s="57"/>
      <c r="D1" s="57"/>
      <c r="E1" s="57"/>
    </row>
    <row r="2" customFormat="false" ht="9.75" hidden="false" customHeight="true" outlineLevel="0" collapsed="false"/>
    <row r="3" customFormat="false" ht="24" hidden="false" customHeight="true" outlineLevel="0" collapsed="false">
      <c r="A3" s="58" t="s">
        <v>239</v>
      </c>
      <c r="B3" s="58"/>
      <c r="C3" s="58"/>
      <c r="D3" s="58"/>
      <c r="E3" s="58"/>
    </row>
    <row r="4" customFormat="false" ht="26.25" hidden="false" customHeight="true" outlineLevel="0" collapsed="false">
      <c r="A4" s="59" t="s">
        <v>156</v>
      </c>
      <c r="B4" s="59" t="s">
        <v>240</v>
      </c>
      <c r="C4" s="59" t="s">
        <v>241</v>
      </c>
      <c r="D4" s="59" t="s">
        <v>242</v>
      </c>
      <c r="E4" s="59" t="s">
        <v>35</v>
      </c>
    </row>
    <row r="5" customFormat="false" ht="18" hidden="false" customHeight="true" outlineLevel="0" collapsed="false">
      <c r="A5" s="60" t="n">
        <v>1</v>
      </c>
      <c r="B5" s="61" t="s">
        <v>40</v>
      </c>
      <c r="C5" s="60" t="s">
        <v>243</v>
      </c>
      <c r="D5" s="61" t="s">
        <v>122</v>
      </c>
      <c r="E5" s="62" t="s">
        <v>167</v>
      </c>
    </row>
    <row r="6" customFormat="false" ht="18" hidden="false" customHeight="true" outlineLevel="0" collapsed="false">
      <c r="A6" s="63" t="n">
        <v>2</v>
      </c>
      <c r="B6" s="64" t="s">
        <v>48</v>
      </c>
      <c r="C6" s="63" t="s">
        <v>244</v>
      </c>
      <c r="D6" s="64" t="s">
        <v>48</v>
      </c>
      <c r="E6" s="65" t="s">
        <v>245</v>
      </c>
    </row>
    <row r="7" customFormat="false" ht="18" hidden="false" customHeight="true" outlineLevel="0" collapsed="false">
      <c r="A7" s="60" t="n">
        <v>3</v>
      </c>
      <c r="B7" s="61" t="s">
        <v>56</v>
      </c>
      <c r="C7" s="60" t="s">
        <v>246</v>
      </c>
      <c r="D7" s="61" t="s">
        <v>127</v>
      </c>
      <c r="E7" s="62" t="s">
        <v>167</v>
      </c>
    </row>
    <row r="8" customFormat="false" ht="18" hidden="false" customHeight="true" outlineLevel="0" collapsed="false">
      <c r="A8" s="63" t="n">
        <v>4</v>
      </c>
      <c r="B8" s="64" t="s">
        <v>63</v>
      </c>
      <c r="C8" s="63" t="s">
        <v>247</v>
      </c>
      <c r="D8" s="64" t="s">
        <v>129</v>
      </c>
      <c r="E8" s="65" t="s">
        <v>167</v>
      </c>
    </row>
    <row r="9" customFormat="false" ht="18" hidden="false" customHeight="true" outlineLevel="0" collapsed="false">
      <c r="A9" s="60" t="n">
        <v>5</v>
      </c>
      <c r="B9" s="61" t="s">
        <v>71</v>
      </c>
      <c r="C9" s="60" t="s">
        <v>248</v>
      </c>
      <c r="D9" s="61" t="s">
        <v>133</v>
      </c>
      <c r="E9" s="62" t="s">
        <v>167</v>
      </c>
    </row>
    <row r="10" customFormat="false" ht="18" hidden="false" customHeight="true" outlineLevel="0" collapsed="false">
      <c r="A10" s="63" t="n">
        <v>6</v>
      </c>
      <c r="B10" s="64" t="s">
        <v>77</v>
      </c>
      <c r="C10" s="63" t="s">
        <v>249</v>
      </c>
      <c r="D10" s="64" t="s">
        <v>135</v>
      </c>
      <c r="E10" s="65" t="s">
        <v>167</v>
      </c>
    </row>
    <row r="11" customFormat="false" ht="18" hidden="false" customHeight="true" outlineLevel="0" collapsed="false">
      <c r="A11" s="60" t="n">
        <v>7</v>
      </c>
      <c r="B11" s="61" t="s">
        <v>83</v>
      </c>
      <c r="C11" s="60" t="s">
        <v>247</v>
      </c>
      <c r="D11" s="61" t="s">
        <v>139</v>
      </c>
      <c r="E11" s="62" t="s">
        <v>167</v>
      </c>
    </row>
    <row r="12" customFormat="false" ht="18" hidden="false" customHeight="true" outlineLevel="0" collapsed="false">
      <c r="A12" s="63" t="n">
        <v>8</v>
      </c>
      <c r="B12" s="64" t="s">
        <v>89</v>
      </c>
      <c r="C12" s="63" t="s">
        <v>243</v>
      </c>
      <c r="D12" s="64" t="s">
        <v>141</v>
      </c>
      <c r="E12" s="65" t="s">
        <v>167</v>
      </c>
    </row>
    <row r="13" customFormat="false" ht="18" hidden="false" customHeight="true" outlineLevel="0" collapsed="false">
      <c r="A13" s="60" t="n">
        <v>9</v>
      </c>
      <c r="B13" s="61" t="s">
        <v>94</v>
      </c>
      <c r="C13" s="60" t="s">
        <v>250</v>
      </c>
      <c r="D13" s="61" t="s">
        <v>144</v>
      </c>
      <c r="E13" s="62" t="s">
        <v>167</v>
      </c>
    </row>
    <row r="14" customFormat="false" ht="18" hidden="false" customHeight="true" outlineLevel="0" collapsed="false">
      <c r="A14" s="63" t="n">
        <v>10</v>
      </c>
      <c r="B14" s="64" t="s">
        <v>99</v>
      </c>
      <c r="C14" s="63" t="s">
        <v>251</v>
      </c>
      <c r="D14" s="64" t="s">
        <v>146</v>
      </c>
      <c r="E14" s="65" t="s">
        <v>167</v>
      </c>
    </row>
    <row r="15" customFormat="false" ht="18" hidden="false" customHeight="true" outlineLevel="0" collapsed="false">
      <c r="A15" s="60" t="n">
        <v>11</v>
      </c>
      <c r="B15" s="61" t="s">
        <v>104</v>
      </c>
      <c r="C15" s="60" t="s">
        <v>248</v>
      </c>
      <c r="D15" s="61" t="s">
        <v>148</v>
      </c>
      <c r="E15" s="62" t="s">
        <v>167</v>
      </c>
    </row>
    <row r="16" customFormat="false" ht="18" hidden="false" customHeight="true" outlineLevel="0" collapsed="false">
      <c r="A16" s="63" t="n">
        <v>12</v>
      </c>
      <c r="B16" s="64" t="s">
        <v>109</v>
      </c>
      <c r="C16" s="63" t="s">
        <v>247</v>
      </c>
      <c r="D16" s="64" t="s">
        <v>151</v>
      </c>
      <c r="E16" s="65" t="s">
        <v>167</v>
      </c>
    </row>
    <row r="17" customFormat="false" ht="18" hidden="false" customHeight="true" outlineLevel="0" collapsed="false">
      <c r="A17" s="60" t="n">
        <v>13</v>
      </c>
      <c r="B17" s="61" t="s">
        <v>115</v>
      </c>
      <c r="C17" s="60" t="s">
        <v>244</v>
      </c>
      <c r="D17" s="61" t="s">
        <v>115</v>
      </c>
      <c r="E17" s="62" t="s">
        <v>245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4" min="3" style="1" width="22"/>
    <col collapsed="false" customWidth="true" hidden="false" outlineLevel="0" max="5" min="5" style="1" width="20"/>
    <col collapsed="false" customWidth="true" hidden="false" outlineLevel="0" max="6" min="6" style="1" width="22"/>
  </cols>
  <sheetData>
    <row r="1" customFormat="false" ht="27.75" hidden="false" customHeight="true" outlineLevel="0" collapsed="false">
      <c r="A1" s="66" t="s">
        <v>252</v>
      </c>
      <c r="B1" s="66"/>
      <c r="C1" s="66"/>
      <c r="D1" s="66"/>
      <c r="E1" s="66"/>
      <c r="F1" s="66"/>
    </row>
    <row r="2" customFormat="false" ht="9.75" hidden="false" customHeight="true" outlineLevel="0" collapsed="false"/>
    <row r="3" customFormat="false" ht="15" hidden="false" customHeight="true" outlineLevel="0" collapsed="false">
      <c r="A3" s="67" t="s">
        <v>156</v>
      </c>
      <c r="B3" s="67" t="s">
        <v>253</v>
      </c>
      <c r="C3" s="67" t="s">
        <v>254</v>
      </c>
      <c r="D3" s="67" t="s">
        <v>255</v>
      </c>
      <c r="E3" s="67" t="s">
        <v>242</v>
      </c>
      <c r="F3" s="67" t="s">
        <v>160</v>
      </c>
    </row>
    <row r="4" customFormat="false" ht="18" hidden="false" customHeight="true" outlineLevel="0" collapsed="false">
      <c r="A4" s="68" t="n">
        <v>1</v>
      </c>
      <c r="B4" s="68" t="s">
        <v>29</v>
      </c>
      <c r="C4" s="69" t="s">
        <v>37</v>
      </c>
      <c r="D4" s="68" t="s">
        <v>256</v>
      </c>
      <c r="E4" s="70" t="s">
        <v>120</v>
      </c>
      <c r="F4" s="68" t="s">
        <v>257</v>
      </c>
    </row>
    <row r="5" customFormat="false" ht="18" hidden="false" customHeight="true" outlineLevel="0" collapsed="false">
      <c r="A5" s="71" t="n">
        <v>2</v>
      </c>
      <c r="B5" s="71" t="s">
        <v>29</v>
      </c>
      <c r="C5" s="72" t="s">
        <v>45</v>
      </c>
      <c r="D5" s="71" t="s">
        <v>258</v>
      </c>
      <c r="E5" s="73" t="s">
        <v>123</v>
      </c>
      <c r="F5" s="71" t="s">
        <v>257</v>
      </c>
    </row>
    <row r="6" customFormat="false" ht="18" hidden="false" customHeight="true" outlineLevel="0" collapsed="false">
      <c r="A6" s="68" t="n">
        <v>3</v>
      </c>
      <c r="B6" s="68" t="s">
        <v>29</v>
      </c>
      <c r="C6" s="69" t="s">
        <v>53</v>
      </c>
      <c r="D6" s="68" t="s">
        <v>259</v>
      </c>
      <c r="E6" s="70" t="s">
        <v>125</v>
      </c>
      <c r="F6" s="68" t="s">
        <v>260</v>
      </c>
    </row>
    <row r="7" customFormat="false" ht="18" hidden="false" customHeight="true" outlineLevel="0" collapsed="false">
      <c r="A7" s="71" t="n">
        <v>4</v>
      </c>
      <c r="B7" s="71" t="s">
        <v>29</v>
      </c>
      <c r="C7" s="72" t="s">
        <v>68</v>
      </c>
      <c r="D7" s="71" t="s">
        <v>261</v>
      </c>
      <c r="E7" s="73" t="s">
        <v>131</v>
      </c>
      <c r="F7" s="71" t="s">
        <v>262</v>
      </c>
    </row>
    <row r="8" customFormat="false" ht="18" hidden="false" customHeight="true" outlineLevel="0" collapsed="false">
      <c r="A8" s="68" t="n">
        <v>5</v>
      </c>
      <c r="B8" s="68" t="s">
        <v>29</v>
      </c>
      <c r="C8" s="69" t="s">
        <v>106</v>
      </c>
      <c r="D8" s="68" t="s">
        <v>259</v>
      </c>
      <c r="E8" s="70" t="s">
        <v>149</v>
      </c>
      <c r="F8" s="68" t="s">
        <v>260</v>
      </c>
    </row>
    <row r="9" customFormat="false" ht="18" hidden="false" customHeight="true" outlineLevel="0" collapsed="false">
      <c r="A9" s="71" t="n">
        <v>6</v>
      </c>
      <c r="B9" s="71" t="s">
        <v>33</v>
      </c>
      <c r="C9" s="72" t="s">
        <v>41</v>
      </c>
      <c r="D9" s="71" t="s">
        <v>263</v>
      </c>
      <c r="E9" s="73" t="s">
        <v>49</v>
      </c>
      <c r="F9" s="71" t="s">
        <v>264</v>
      </c>
    </row>
    <row r="10" customFormat="false" ht="18" hidden="false" customHeight="true" outlineLevel="0" collapsed="false">
      <c r="A10" s="68" t="n">
        <v>7</v>
      </c>
      <c r="B10" s="68" t="s">
        <v>33</v>
      </c>
      <c r="C10" s="69" t="s">
        <v>57</v>
      </c>
      <c r="D10" s="68" t="s">
        <v>258</v>
      </c>
      <c r="E10" s="70" t="s">
        <v>49</v>
      </c>
      <c r="F10" s="68" t="s">
        <v>264</v>
      </c>
    </row>
    <row r="11" customFormat="false" ht="18" hidden="false" customHeight="true" outlineLevel="0" collapsed="false">
      <c r="A11" s="71" t="n">
        <v>8</v>
      </c>
      <c r="B11" s="71" t="s">
        <v>33</v>
      </c>
      <c r="C11" s="72" t="s">
        <v>64</v>
      </c>
      <c r="D11" s="71" t="s">
        <v>265</v>
      </c>
      <c r="E11" s="73" t="s">
        <v>49</v>
      </c>
      <c r="F11" s="71" t="s">
        <v>266</v>
      </c>
    </row>
    <row r="12" customFormat="false" ht="18" hidden="false" customHeight="true" outlineLevel="0" collapsed="false">
      <c r="A12" s="68" t="n">
        <v>9</v>
      </c>
      <c r="B12" s="68" t="s">
        <v>35</v>
      </c>
      <c r="C12" s="69" t="s">
        <v>51</v>
      </c>
      <c r="D12" s="68" t="s">
        <v>258</v>
      </c>
      <c r="E12" s="70" t="s">
        <v>59</v>
      </c>
      <c r="F12" s="68" t="s">
        <v>264</v>
      </c>
    </row>
    <row r="13" customFormat="false" ht="18" hidden="false" customHeight="true" outlineLevel="0" collapsed="false">
      <c r="A13" s="71" t="n">
        <v>10</v>
      </c>
      <c r="B13" s="71" t="s">
        <v>35</v>
      </c>
      <c r="C13" s="72" t="s">
        <v>43</v>
      </c>
      <c r="D13" s="71" t="s">
        <v>263</v>
      </c>
      <c r="E13" s="73" t="s">
        <v>59</v>
      </c>
      <c r="F13" s="71" t="s">
        <v>264</v>
      </c>
    </row>
    <row r="14" customFormat="false" ht="18" hidden="false" customHeight="true" outlineLevel="0" collapsed="false">
      <c r="A14" s="68" t="n">
        <v>11</v>
      </c>
      <c r="B14" s="68" t="s">
        <v>35</v>
      </c>
      <c r="C14" s="69" t="s">
        <v>85</v>
      </c>
      <c r="D14" s="68" t="s">
        <v>258</v>
      </c>
      <c r="E14" s="70" t="s">
        <v>130</v>
      </c>
      <c r="F14" s="68" t="s">
        <v>264</v>
      </c>
    </row>
    <row r="15" customFormat="false" ht="18" hidden="false" customHeight="true" outlineLevel="0" collapsed="false">
      <c r="A15" s="71" t="n">
        <v>12</v>
      </c>
      <c r="B15" s="71" t="s">
        <v>36</v>
      </c>
      <c r="C15" s="72" t="s">
        <v>52</v>
      </c>
      <c r="D15" s="71" t="s">
        <v>263</v>
      </c>
      <c r="E15" s="73" t="s">
        <v>79</v>
      </c>
      <c r="F15" s="71" t="s">
        <v>264</v>
      </c>
    </row>
    <row r="16" customFormat="false" ht="18" hidden="false" customHeight="true" outlineLevel="0" collapsed="false">
      <c r="A16" s="68" t="n">
        <v>13</v>
      </c>
      <c r="B16" s="68" t="s">
        <v>36</v>
      </c>
      <c r="C16" s="69" t="s">
        <v>73</v>
      </c>
      <c r="D16" s="68" t="s">
        <v>258</v>
      </c>
      <c r="E16" s="70" t="s">
        <v>111</v>
      </c>
      <c r="F16" s="68" t="s">
        <v>264</v>
      </c>
    </row>
    <row r="17" customFormat="false" ht="18" hidden="false" customHeight="true" outlineLevel="0" collapsed="false">
      <c r="A17" s="71" t="n">
        <v>14</v>
      </c>
      <c r="B17" s="71" t="s">
        <v>36</v>
      </c>
      <c r="C17" s="72" t="s">
        <v>117</v>
      </c>
      <c r="D17" s="71" t="s">
        <v>258</v>
      </c>
      <c r="E17" s="73" t="s">
        <v>44</v>
      </c>
      <c r="F17" s="71" t="s">
        <v>264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4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28"/>
  </cols>
  <sheetData>
    <row r="1" customFormat="false" ht="27.75" hidden="false" customHeight="true" outlineLevel="0" collapsed="false">
      <c r="A1" s="74" t="s">
        <v>267</v>
      </c>
      <c r="B1" s="74"/>
      <c r="C1" s="74"/>
      <c r="D1" s="74"/>
      <c r="E1" s="74"/>
      <c r="F1" s="74"/>
    </row>
    <row r="2" customFormat="false" ht="9.75" hidden="false" customHeight="true" outlineLevel="0" collapsed="false"/>
    <row r="3" customFormat="false" ht="15" hidden="false" customHeight="true" outlineLevel="0" collapsed="false">
      <c r="A3" s="75" t="s">
        <v>156</v>
      </c>
      <c r="B3" s="75" t="s">
        <v>254</v>
      </c>
      <c r="C3" s="75" t="s">
        <v>268</v>
      </c>
      <c r="D3" s="75" t="s">
        <v>255</v>
      </c>
      <c r="E3" s="75" t="s">
        <v>242</v>
      </c>
      <c r="F3" s="75" t="s">
        <v>160</v>
      </c>
    </row>
    <row r="4" customFormat="false" ht="18" hidden="false" customHeight="true" outlineLevel="0" collapsed="false">
      <c r="A4" s="64" t="n">
        <v>1</v>
      </c>
      <c r="B4" s="64" t="s">
        <v>42</v>
      </c>
      <c r="C4" s="64" t="s">
        <v>269</v>
      </c>
      <c r="D4" s="64" t="s">
        <v>270</v>
      </c>
      <c r="E4" s="76" t="n">
        <v>15000</v>
      </c>
      <c r="F4" s="64" t="s">
        <v>271</v>
      </c>
    </row>
    <row r="5" customFormat="false" ht="18" hidden="false" customHeight="true" outlineLevel="0" collapsed="false">
      <c r="A5" s="77" t="n">
        <v>2</v>
      </c>
      <c r="B5" s="77" t="s">
        <v>50</v>
      </c>
      <c r="C5" s="77" t="s">
        <v>269</v>
      </c>
      <c r="D5" s="77" t="s">
        <v>272</v>
      </c>
      <c r="E5" s="78" t="n">
        <v>22500</v>
      </c>
      <c r="F5" s="77" t="s">
        <v>273</v>
      </c>
    </row>
    <row r="6" customFormat="false" ht="18" hidden="false" customHeight="true" outlineLevel="0" collapsed="false">
      <c r="A6" s="64" t="n">
        <v>3</v>
      </c>
      <c r="B6" s="64" t="s">
        <v>58</v>
      </c>
      <c r="C6" s="64" t="s">
        <v>269</v>
      </c>
      <c r="D6" s="64" t="s">
        <v>270</v>
      </c>
      <c r="E6" s="76" t="n">
        <v>18000</v>
      </c>
      <c r="F6" s="64" t="s">
        <v>271</v>
      </c>
    </row>
    <row r="7" customFormat="false" ht="18" hidden="false" customHeight="true" outlineLevel="0" collapsed="false">
      <c r="A7" s="79" t="n">
        <v>4</v>
      </c>
      <c r="B7" s="80" t="s">
        <v>65</v>
      </c>
      <c r="C7" s="79" t="s">
        <v>269</v>
      </c>
      <c r="D7" s="80" t="s">
        <v>274</v>
      </c>
      <c r="E7" s="81" t="n">
        <v>0</v>
      </c>
      <c r="F7" s="79" t="s">
        <v>275</v>
      </c>
    </row>
    <row r="8" customFormat="false" ht="18" hidden="false" customHeight="true" outlineLevel="0" collapsed="false">
      <c r="A8" s="64" t="n">
        <v>5</v>
      </c>
      <c r="B8" s="64" t="s">
        <v>72</v>
      </c>
      <c r="C8" s="64" t="s">
        <v>269</v>
      </c>
      <c r="D8" s="64" t="s">
        <v>270</v>
      </c>
      <c r="E8" s="76" t="n">
        <v>31000</v>
      </c>
      <c r="F8" s="64" t="s">
        <v>271</v>
      </c>
    </row>
    <row r="9" customFormat="false" ht="18" hidden="false" customHeight="true" outlineLevel="0" collapsed="false">
      <c r="A9" s="77" t="n">
        <v>6</v>
      </c>
      <c r="B9" s="77" t="s">
        <v>78</v>
      </c>
      <c r="C9" s="77" t="s">
        <v>269</v>
      </c>
      <c r="D9" s="77" t="s">
        <v>276</v>
      </c>
      <c r="E9" s="78" t="n">
        <v>27000</v>
      </c>
      <c r="F9" s="77" t="s">
        <v>273</v>
      </c>
    </row>
    <row r="10" customFormat="false" ht="18" hidden="false" customHeight="true" outlineLevel="0" collapsed="false">
      <c r="A10" s="64" t="n">
        <v>7</v>
      </c>
      <c r="B10" s="64" t="s">
        <v>84</v>
      </c>
      <c r="C10" s="64" t="s">
        <v>269</v>
      </c>
      <c r="D10" s="64" t="s">
        <v>270</v>
      </c>
      <c r="E10" s="76" t="n">
        <v>19500</v>
      </c>
      <c r="F10" s="64" t="s">
        <v>271</v>
      </c>
    </row>
    <row r="11" customFormat="false" ht="18" hidden="false" customHeight="true" outlineLevel="0" collapsed="false">
      <c r="A11" s="77" t="n">
        <v>8</v>
      </c>
      <c r="B11" s="77" t="s">
        <v>90</v>
      </c>
      <c r="C11" s="77" t="s">
        <v>277</v>
      </c>
      <c r="D11" s="77" t="s">
        <v>278</v>
      </c>
      <c r="E11" s="78" t="n">
        <v>45000</v>
      </c>
      <c r="F11" s="77" t="s">
        <v>279</v>
      </c>
    </row>
    <row r="12" customFormat="false" ht="18" hidden="false" customHeight="true" outlineLevel="0" collapsed="false">
      <c r="A12" s="64" t="n">
        <v>9</v>
      </c>
      <c r="B12" s="64" t="s">
        <v>95</v>
      </c>
      <c r="C12" s="64" t="s">
        <v>269</v>
      </c>
      <c r="D12" s="64" t="s">
        <v>272</v>
      </c>
      <c r="E12" s="76" t="n">
        <v>8750</v>
      </c>
      <c r="F12" s="64" t="s">
        <v>273</v>
      </c>
    </row>
    <row r="13" customFormat="false" ht="18" hidden="false" customHeight="true" outlineLevel="0" collapsed="false">
      <c r="A13" s="77" t="n">
        <v>10</v>
      </c>
      <c r="B13" s="77" t="s">
        <v>100</v>
      </c>
      <c r="C13" s="77" t="s">
        <v>269</v>
      </c>
      <c r="D13" s="77" t="s">
        <v>270</v>
      </c>
      <c r="E13" s="78" t="n">
        <v>33000</v>
      </c>
      <c r="F13" s="77" t="s">
        <v>271</v>
      </c>
    </row>
    <row r="14" customFormat="false" ht="18" hidden="false" customHeight="true" outlineLevel="0" collapsed="false">
      <c r="A14" s="79" t="n">
        <v>11</v>
      </c>
      <c r="B14" s="80" t="s">
        <v>105</v>
      </c>
      <c r="C14" s="79" t="s">
        <v>269</v>
      </c>
      <c r="D14" s="80" t="s">
        <v>280</v>
      </c>
      <c r="E14" s="81" t="n">
        <v>0</v>
      </c>
      <c r="F14" s="79" t="s">
        <v>281</v>
      </c>
    </row>
    <row r="15" customFormat="false" ht="18" hidden="false" customHeight="true" outlineLevel="0" collapsed="false">
      <c r="A15" s="77" t="n">
        <v>12</v>
      </c>
      <c r="B15" s="77" t="s">
        <v>110</v>
      </c>
      <c r="C15" s="77" t="s">
        <v>269</v>
      </c>
      <c r="D15" s="77" t="s">
        <v>270</v>
      </c>
      <c r="E15" s="78" t="n">
        <v>28000</v>
      </c>
      <c r="F15" s="77" t="s">
        <v>271</v>
      </c>
    </row>
    <row r="16" customFormat="false" ht="18" hidden="false" customHeight="true" outlineLevel="0" collapsed="false">
      <c r="A16" s="64" t="n">
        <v>13</v>
      </c>
      <c r="B16" s="64" t="s">
        <v>116</v>
      </c>
      <c r="C16" s="64" t="s">
        <v>269</v>
      </c>
      <c r="D16" s="64" t="s">
        <v>272</v>
      </c>
      <c r="E16" s="76" t="n">
        <v>41000</v>
      </c>
      <c r="F16" s="64" t="s">
        <v>273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18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42" t="s">
        <v>282</v>
      </c>
      <c r="B1" s="42"/>
      <c r="C1" s="42"/>
      <c r="D1" s="42"/>
      <c r="E1" s="42"/>
      <c r="F1" s="42"/>
    </row>
    <row r="2" customFormat="false" ht="9.75" hidden="false" customHeight="true" outlineLevel="0" collapsed="false"/>
    <row r="3" customFormat="false" ht="24" hidden="false" customHeight="true" outlineLevel="0" collapsed="false">
      <c r="A3" s="82" t="s">
        <v>283</v>
      </c>
      <c r="B3" s="82"/>
      <c r="C3" s="82"/>
      <c r="D3" s="82"/>
      <c r="E3" s="82"/>
      <c r="F3" s="82"/>
    </row>
    <row r="4" customFormat="false" ht="15" hidden="false" customHeight="true" outlineLevel="0" collapsed="false">
      <c r="A4" s="83" t="s">
        <v>156</v>
      </c>
      <c r="B4" s="83" t="s">
        <v>284</v>
      </c>
      <c r="C4" s="83" t="s">
        <v>285</v>
      </c>
      <c r="D4" s="83" t="s">
        <v>286</v>
      </c>
      <c r="E4" s="83" t="s">
        <v>287</v>
      </c>
      <c r="F4" s="83" t="s">
        <v>288</v>
      </c>
    </row>
    <row r="5" customFormat="false" ht="21.75" hidden="false" customHeight="true" outlineLevel="0" collapsed="false">
      <c r="A5" s="84" t="n">
        <v>1</v>
      </c>
      <c r="B5" s="84" t="s">
        <v>289</v>
      </c>
      <c r="C5" s="84" t="s">
        <v>290</v>
      </c>
      <c r="D5" s="84" t="s">
        <v>291</v>
      </c>
      <c r="E5" s="85" t="s">
        <v>292</v>
      </c>
      <c r="F5" s="84" t="s">
        <v>293</v>
      </c>
    </row>
    <row r="6" customFormat="false" ht="21.75" hidden="false" customHeight="true" outlineLevel="0" collapsed="false">
      <c r="A6" s="84" t="n">
        <v>2</v>
      </c>
      <c r="B6" s="84" t="s">
        <v>294</v>
      </c>
      <c r="C6" s="84" t="s">
        <v>290</v>
      </c>
      <c r="D6" s="84" t="s">
        <v>291</v>
      </c>
      <c r="E6" s="85" t="s">
        <v>292</v>
      </c>
      <c r="F6" s="84" t="s">
        <v>295</v>
      </c>
    </row>
    <row r="7" customFormat="false" ht="21.75" hidden="false" customHeight="true" outlineLevel="0" collapsed="false">
      <c r="A7" s="84" t="n">
        <v>3</v>
      </c>
      <c r="B7" s="84" t="s">
        <v>296</v>
      </c>
      <c r="C7" s="84" t="s">
        <v>290</v>
      </c>
      <c r="D7" s="84" t="s">
        <v>291</v>
      </c>
      <c r="E7" s="85" t="s">
        <v>292</v>
      </c>
      <c r="F7" s="84" t="s">
        <v>295</v>
      </c>
    </row>
    <row r="8" customFormat="false" ht="21.75" hidden="false" customHeight="true" outlineLevel="0" collapsed="false">
      <c r="A8" s="86" t="n">
        <v>4</v>
      </c>
      <c r="B8" s="86" t="s">
        <v>297</v>
      </c>
      <c r="C8" s="86" t="s">
        <v>290</v>
      </c>
      <c r="D8" s="86" t="s">
        <v>298</v>
      </c>
      <c r="E8" s="87" t="s">
        <v>299</v>
      </c>
      <c r="F8" s="86" t="s">
        <v>300</v>
      </c>
    </row>
    <row r="9" customFormat="false" ht="21.75" hidden="false" customHeight="true" outlineLevel="0" collapsed="false">
      <c r="A9" s="86" t="n">
        <v>5</v>
      </c>
      <c r="B9" s="86" t="s">
        <v>301</v>
      </c>
      <c r="C9" s="86" t="s">
        <v>290</v>
      </c>
      <c r="D9" s="86" t="s">
        <v>298</v>
      </c>
      <c r="E9" s="87" t="s">
        <v>299</v>
      </c>
      <c r="F9" s="86" t="s">
        <v>302</v>
      </c>
    </row>
    <row r="10" customFormat="false" ht="21.75" hidden="false" customHeight="true" outlineLevel="0" collapsed="false">
      <c r="A10" s="84" t="n">
        <v>6</v>
      </c>
      <c r="B10" s="84" t="s">
        <v>303</v>
      </c>
      <c r="C10" s="84" t="s">
        <v>290</v>
      </c>
      <c r="D10" s="84" t="s">
        <v>291</v>
      </c>
      <c r="E10" s="85" t="s">
        <v>292</v>
      </c>
      <c r="F10" s="84" t="s">
        <v>304</v>
      </c>
    </row>
    <row r="11" customFormat="false" ht="21.75" hidden="false" customHeight="true" outlineLevel="0" collapsed="false">
      <c r="A11" s="84" t="n">
        <v>7</v>
      </c>
      <c r="B11" s="84" t="s">
        <v>305</v>
      </c>
      <c r="C11" s="84" t="s">
        <v>290</v>
      </c>
      <c r="D11" s="84" t="s">
        <v>291</v>
      </c>
      <c r="E11" s="85" t="s">
        <v>292</v>
      </c>
      <c r="F11" s="84" t="s">
        <v>306</v>
      </c>
    </row>
    <row r="12" customFormat="false" ht="21.75" hidden="false" customHeight="true" outlineLevel="0" collapsed="false">
      <c r="A12" s="71" t="n">
        <v>8</v>
      </c>
      <c r="B12" s="71" t="s">
        <v>307</v>
      </c>
      <c r="C12" s="71" t="s">
        <v>290</v>
      </c>
      <c r="D12" s="71" t="s">
        <v>308</v>
      </c>
      <c r="E12" s="73" t="s">
        <v>309</v>
      </c>
      <c r="F12" s="71" t="s">
        <v>310</v>
      </c>
    </row>
    <row r="15" customFormat="false" ht="21.75" hidden="false" customHeight="true" outlineLevel="0" collapsed="false">
      <c r="A15" s="88" t="s">
        <v>311</v>
      </c>
      <c r="B15" s="88"/>
      <c r="C15" s="88"/>
      <c r="D15" s="88"/>
      <c r="E15" s="88"/>
      <c r="F15" s="88"/>
    </row>
    <row r="16" customFormat="false" ht="19.5" hidden="false" customHeight="true" outlineLevel="0" collapsed="false">
      <c r="A16" s="89" t="s">
        <v>312</v>
      </c>
      <c r="B16" s="89"/>
      <c r="C16" s="90" t="s">
        <v>313</v>
      </c>
      <c r="D16" s="90"/>
      <c r="E16" s="90"/>
      <c r="F16" s="90"/>
    </row>
    <row r="17" customFormat="false" ht="19.5" hidden="false" customHeight="true" outlineLevel="0" collapsed="false">
      <c r="A17" s="91" t="s">
        <v>314</v>
      </c>
      <c r="B17" s="91"/>
      <c r="C17" s="92" t="s">
        <v>315</v>
      </c>
      <c r="D17" s="92"/>
      <c r="E17" s="92"/>
      <c r="F17" s="92"/>
    </row>
    <row r="18" customFormat="false" ht="19.5" hidden="false" customHeight="true" outlineLevel="0" collapsed="false">
      <c r="A18" s="93" t="s">
        <v>316</v>
      </c>
      <c r="B18" s="93"/>
      <c r="C18" s="94" t="s">
        <v>317</v>
      </c>
      <c r="D18" s="94"/>
      <c r="E18" s="94"/>
      <c r="F18" s="94"/>
    </row>
  </sheetData>
  <mergeCells count="9">
    <mergeCell ref="A1:F1"/>
    <mergeCell ref="A3:F3"/>
    <mergeCell ref="A15:F15"/>
    <mergeCell ref="A16:B16"/>
    <mergeCell ref="C16:F16"/>
    <mergeCell ref="A17:B17"/>
    <mergeCell ref="C17:F17"/>
    <mergeCell ref="A18:B18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2026-03-19T17:26:19Z</dcterms:created>
  <dc:creator>openpyxl</dc:creator>
  <dc:description/>
  <dc:language>en-US</dc:language>
  <cp:lastModifiedBy/>
  <dcterms:modified xsi:type="dcterms:W3CDTF">2026-03-19T17:26:41Z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